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dice" sheetId="1" state="visible" r:id="rId1"/>
    <sheet xmlns:r="http://schemas.openxmlformats.org/officeDocument/2006/relationships" name="01_Inputs_Globales" sheetId="2" state="visible" r:id="rId2"/>
    <sheet xmlns:r="http://schemas.openxmlformats.org/officeDocument/2006/relationships" name="Tipo_DGSFP" sheetId="3" state="visible" r:id="rId3"/>
    <sheet xmlns:r="http://schemas.openxmlformats.org/officeDocument/2006/relationships" name="VA_5_10_20" sheetId="4" state="visible" r:id="rId4"/>
    <sheet xmlns:r="http://schemas.openxmlformats.org/officeDocument/2006/relationships" name="Sens_50_100bp" sheetId="5" state="visible" r:id="rId5"/>
    <sheet xmlns:r="http://schemas.openxmlformats.org/officeDocument/2006/relationships" name="SemiMatching" sheetId="6" state="visible" r:id="rId6"/>
    <sheet xmlns:r="http://schemas.openxmlformats.org/officeDocument/2006/relationships" name="NoEuro" sheetId="7" state="visible" r:id="rId7"/>
    <sheet xmlns:r="http://schemas.openxmlformats.org/officeDocument/2006/relationships" name="Garantia_1y" sheetId="8" state="visible" r:id="rId8"/>
    <sheet xmlns:r="http://schemas.openxmlformats.org/officeDocument/2006/relationships" name="CF_Matching" sheetId="9" state="visible" r:id="rId9"/>
    <sheet xmlns:r="http://schemas.openxmlformats.org/officeDocument/2006/relationships" name="Dur_Matching" sheetId="10" state="visible" r:id="rId10"/>
    <sheet xmlns:r="http://schemas.openxmlformats.org/officeDocument/2006/relationships" name="Rentabilidad_Real" sheetId="11" state="visible" r:id="rId11"/>
    <sheet xmlns:r="http://schemas.openxmlformats.org/officeDocument/2006/relationships" name="Pre1999" sheetId="12" state="visible" r:id="rId12"/>
    <sheet xmlns:r="http://schemas.openxmlformats.org/officeDocument/2006/relationships" name="Pre2016" sheetId="13" state="visible" r:id="rId13"/>
    <sheet xmlns:r="http://schemas.openxmlformats.org/officeDocument/2006/relationships" name="Post2016" sheetId="14" state="visible" r:id="rId14"/>
    <sheet xmlns:r="http://schemas.openxmlformats.org/officeDocument/2006/relationships" name="PB" sheetId="15" state="visible" r:id="rId15"/>
    <sheet xmlns:r="http://schemas.openxmlformats.org/officeDocument/2006/relationships" name="Fallback_33_4" sheetId="16" state="visible" r:id="rId16"/>
  </sheets>
  <definedNames/>
  <calcPr calcId="124519" fullCalcOnLoad="1"/>
</workbook>
</file>

<file path=xl/styles.xml><?xml version="1.0" encoding="utf-8"?>
<styleSheet xmlns="http://schemas.openxmlformats.org/spreadsheetml/2006/main">
  <numFmts count="4">
    <numFmt numFmtId="164" formatCode="0.0000%"/>
    <numFmt numFmtId="165" formatCode="0.000000"/>
    <numFmt numFmtId="166" formatCode="0.000%"/>
    <numFmt numFmtId="167" formatCode="0.0000"/>
  </numFmts>
  <fonts count="17">
    <font>
      <name val="Calibri"/>
      <family val="2"/>
      <color theme="1"/>
      <sz val="11"/>
      <scheme val="minor"/>
    </font>
    <font>
      <name val="Calibri"/>
      <b val="1"/>
      <color rgb="00FFFFFF"/>
      <sz val="16"/>
    </font>
    <font>
      <i val="1"/>
      <color rgb="00595959"/>
      <sz val="9"/>
    </font>
    <font>
      <b val="1"/>
      <color rgb="009C0006"/>
    </font>
    <font>
      <b val="1"/>
      <color rgb="00FFFFFF"/>
    </font>
    <font>
      <color rgb="000563C1"/>
      <u val="single"/>
    </font>
    <font>
      <b val="1"/>
    </font>
    <font>
      <sz val="9"/>
    </font>
    <font>
      <name val="Calibri"/>
      <b val="1"/>
      <color rgb="001F3864"/>
      <sz val="12"/>
    </font>
    <font>
      <name val="Calibri"/>
      <b val="1"/>
      <color rgb="007F6000"/>
      <sz val="10"/>
    </font>
    <font>
      <name val="Calibri"/>
      <b val="1"/>
      <color rgb="00375623"/>
      <sz val="10"/>
    </font>
    <font>
      <name val="Calibri"/>
      <i val="1"/>
      <color rgb="00808080"/>
      <sz val="9"/>
    </font>
    <font>
      <name val="Calibri"/>
      <b val="1"/>
      <color rgb="00000000"/>
      <sz val="11"/>
    </font>
    <font>
      <i val="1"/>
      <color rgb="00595959"/>
      <sz val="8"/>
    </font>
    <font>
      <b val="1"/>
      <color rgb="009C0006"/>
      <sz val="9"/>
    </font>
    <font>
      <i val="1"/>
      <sz val="9"/>
    </font>
    <font>
      <b val="1"/>
      <sz val="9"/>
    </font>
  </fonts>
  <fills count="10">
    <fill>
      <patternFill/>
    </fill>
    <fill>
      <patternFill patternType="gray125"/>
    </fill>
    <fill>
      <patternFill patternType="solid">
        <fgColor rgb="001F3864"/>
      </patternFill>
    </fill>
    <fill>
      <patternFill patternType="solid">
        <fgColor rgb="00FFC7CE"/>
      </patternFill>
    </fill>
    <fill>
      <patternFill patternType="solid">
        <fgColor rgb="00FFF2CC"/>
      </patternFill>
    </fill>
    <fill>
      <patternFill patternType="solid">
        <fgColor rgb="00C6E0B4"/>
      </patternFill>
    </fill>
    <fill>
      <patternFill patternType="solid">
        <fgColor rgb="00D9E1F2"/>
      </patternFill>
    </fill>
    <fill>
      <patternFill patternType="solid">
        <fgColor rgb="00F8CBAD"/>
      </patternFill>
    </fill>
    <fill>
      <patternFill patternType="solid">
        <fgColor rgb="00833C00"/>
      </patternFill>
    </fill>
    <fill>
      <patternFill patternType="solid">
        <fgColor rgb="00FBE5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57">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3" borderId="0" applyAlignment="1" pivotButton="0" quotePrefix="0" xfId="0">
      <alignment vertical="center" wrapText="1"/>
    </xf>
    <xf numFmtId="0" fontId="4" fillId="2" borderId="1" pivotButton="0" quotePrefix="0" xfId="0"/>
    <xf numFmtId="0" fontId="0" fillId="0" borderId="1" pivotButton="0" quotePrefix="0" xfId="0"/>
    <xf numFmtId="0" fontId="5" fillId="0" borderId="1" pivotButton="0" quotePrefix="0" xfId="0"/>
    <xf numFmtId="0" fontId="0" fillId="0" borderId="1" applyAlignment="1" pivotButton="0" quotePrefix="0" xfId="0">
      <alignment wrapText="1"/>
    </xf>
    <xf numFmtId="0" fontId="6" fillId="0" borderId="0" pivotButton="0" quotePrefix="0" xfId="0"/>
    <xf numFmtId="0" fontId="7" fillId="0" borderId="0" pivotButton="0" quotePrefix="0" xfId="0"/>
    <xf numFmtId="0" fontId="8" fillId="0" borderId="0" pivotButton="0" quotePrefix="0" xfId="0"/>
    <xf numFmtId="0" fontId="9" fillId="4" borderId="0" pivotButton="0" quotePrefix="0" xfId="0"/>
    <xf numFmtId="0" fontId="9" fillId="4" borderId="1" pivotButton="0" quotePrefix="0" xfId="0"/>
    <xf numFmtId="10" fontId="9" fillId="4" borderId="1" pivotButton="0" quotePrefix="0" xfId="0"/>
    <xf numFmtId="0" fontId="10" fillId="0" borderId="0" pivotButton="0" quotePrefix="0" xfId="0"/>
    <xf numFmtId="164" fontId="10" fillId="5" borderId="1" pivotButton="0" quotePrefix="0" xfId="0"/>
    <xf numFmtId="164" fontId="0" fillId="0" borderId="0" pivotButton="0" quotePrefix="0" xfId="0"/>
    <xf numFmtId="0" fontId="11" fillId="0" borderId="0" pivotButton="0" quotePrefix="0" xfId="0"/>
    <xf numFmtId="0" fontId="3" fillId="3" borderId="0" pivotButton="0" quotePrefix="0" xfId="0"/>
    <xf numFmtId="0" fontId="7" fillId="0" borderId="0" applyAlignment="1" pivotButton="0" quotePrefix="0" xfId="0">
      <alignment vertical="top" wrapText="1"/>
    </xf>
    <xf numFmtId="0" fontId="12" fillId="0" borderId="0" pivotButton="0" quotePrefix="0" xfId="0"/>
    <xf numFmtId="0" fontId="0" fillId="6" borderId="0" pivotButton="0" quotePrefix="0" xfId="0"/>
    <xf numFmtId="0" fontId="0" fillId="3" borderId="0" pivotButton="0" quotePrefix="0" xfId="0"/>
    <xf numFmtId="0" fontId="4" fillId="2" borderId="0" pivotButton="0" quotePrefix="0" xfId="0"/>
    <xf numFmtId="10" fontId="0" fillId="0" borderId="1" pivotButton="0" quotePrefix="0" xfId="0"/>
    <xf numFmtId="0" fontId="0" fillId="0" borderId="4" pivotButton="0" quotePrefix="0" xfId="0"/>
    <xf numFmtId="0" fontId="13" fillId="0" borderId="0" pivotButton="0" quotePrefix="0" xfId="0"/>
    <xf numFmtId="0" fontId="14" fillId="3" borderId="0" pivotButton="0" quotePrefix="0" xfId="0"/>
    <xf numFmtId="0" fontId="9" fillId="0" borderId="0" pivotButton="0" quotePrefix="0" xfId="0"/>
    <xf numFmtId="164" fontId="0" fillId="6" borderId="1" pivotButton="0" quotePrefix="0" xfId="0"/>
    <xf numFmtId="0" fontId="15" fillId="0" borderId="0" pivotButton="0" quotePrefix="0" xfId="0"/>
    <xf numFmtId="0" fontId="0" fillId="7" borderId="1" pivotButton="0" quotePrefix="0" xfId="0"/>
    <xf numFmtId="0" fontId="4" fillId="8" borderId="0" pivotButton="0" quotePrefix="0" xfId="0"/>
    <xf numFmtId="0" fontId="16" fillId="0" borderId="0" pivotButton="0" quotePrefix="0" xfId="0"/>
    <xf numFmtId="165" fontId="0" fillId="0" borderId="1" pivotButton="0" quotePrefix="0" xfId="0"/>
    <xf numFmtId="4" fontId="0" fillId="5" borderId="1" pivotButton="0" quotePrefix="0" xfId="0"/>
    <xf numFmtId="4" fontId="0" fillId="0" borderId="0" pivotButton="0" quotePrefix="0" xfId="0"/>
    <xf numFmtId="0" fontId="4" fillId="8" borderId="1" pivotButton="0" quotePrefix="0" xfId="0"/>
    <xf numFmtId="0" fontId="16" fillId="9" borderId="1" pivotButton="0" quotePrefix="0" xfId="0"/>
    <xf numFmtId="0" fontId="7" fillId="9" borderId="1" applyAlignment="1" pivotButton="0" quotePrefix="0" xfId="0">
      <alignment vertical="top" wrapText="1"/>
    </xf>
    <xf numFmtId="0" fontId="0" fillId="9" borderId="1" pivotButton="0" quotePrefix="0" xfId="0"/>
    <xf numFmtId="0" fontId="15" fillId="9" borderId="1" applyAlignment="1" pivotButton="0" quotePrefix="0" xfId="0">
      <alignment vertical="top" wrapText="1"/>
    </xf>
    <xf numFmtId="166" fontId="0" fillId="0" borderId="1" pivotButton="0" quotePrefix="0" xfId="0"/>
    <xf numFmtId="4" fontId="0" fillId="0" borderId="1" pivotButton="0" quotePrefix="0" xfId="0"/>
    <xf numFmtId="0" fontId="0" fillId="6" borderId="1" pivotButton="0" quotePrefix="0" xfId="0"/>
    <xf numFmtId="0" fontId="0" fillId="0" borderId="5" pivotButton="0" quotePrefix="0" xfId="0"/>
    <xf numFmtId="4" fontId="10" fillId="5" borderId="1" pivotButton="0" quotePrefix="0" xfId="0"/>
    <xf numFmtId="4" fontId="0" fillId="6" borderId="1" pivotButton="0" quotePrefix="0" xfId="0"/>
    <xf numFmtId="165" fontId="0" fillId="6" borderId="1" pivotButton="0" quotePrefix="0" xfId="0"/>
    <xf numFmtId="10" fontId="0" fillId="0" borderId="0" pivotButton="0" quotePrefix="0" xfId="0"/>
    <xf numFmtId="3" fontId="9" fillId="4" borderId="1" pivotButton="0" quotePrefix="0" xfId="0"/>
    <xf numFmtId="4" fontId="9" fillId="4" borderId="1" pivotButton="0" quotePrefix="0" xfId="0"/>
    <xf numFmtId="3" fontId="0" fillId="6" borderId="1" pivotButton="0" quotePrefix="0" xfId="0"/>
    <xf numFmtId="167" fontId="0" fillId="6" borderId="1" pivotButton="0" quotePrefix="0" xfId="0"/>
    <xf numFmtId="167" fontId="10" fillId="5" borderId="1" pivotButton="0" quotePrefix="0" xfId="0"/>
    <xf numFmtId="167" fontId="0" fillId="0" borderId="0" pivotButton="0" quotePrefix="0" xfId="0"/>
    <xf numFmtId="1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Sensibilidad VA a shocks de tipo (±50/±100 pb)</a:t>
            </a:r>
          </a:p>
        </rich>
      </tx>
    </title>
    <plotArea>
      <lineChart>
        <grouping val="standard"/>
        <ser>
          <idx val="0"/>
          <order val="0"/>
          <tx>
            <strRef>
              <f>'Sens_50_100bp'!C10</f>
            </strRef>
          </tx>
          <spPr>
            <a:ln xmlns:a="http://schemas.openxmlformats.org/drawingml/2006/main">
              <a:prstDash val="solid"/>
            </a:ln>
          </spPr>
          <marker>
            <symbol val="none"/>
            <spPr>
              <a:ln xmlns:a="http://schemas.openxmlformats.org/drawingml/2006/main">
                <a:prstDash val="solid"/>
              </a:ln>
            </spPr>
          </marker>
          <cat>
            <numRef>
              <f>'Sens_50_100bp'!$A$11:$A$15</f>
            </numRef>
          </cat>
          <val>
            <numRef>
              <f>'Sens_50_100bp'!$C$11:$C$15</f>
            </numRef>
          </val>
        </ser>
        <axId val="10"/>
        <axId val="100"/>
      </lineChart>
      <catAx>
        <axId val="10"/>
        <scaling>
          <orientation val="minMax"/>
        </scaling>
        <axPos val="l"/>
        <title>
          <tx>
            <rich>
              <a:bodyPr xmlns:a="http://schemas.openxmlformats.org/drawingml/2006/main"/>
              <a:p xmlns:a="http://schemas.openxmlformats.org/drawingml/2006/main">
                <a:pPr>
                  <a:defRPr/>
                </a:pPr>
                <a:r>
                  <a:t>Shock (pb)</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Valor Actual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3</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Inputs_Globales!A1" TargetMode="External" Id="rId1"/><Relationship Type="http://schemas.openxmlformats.org/officeDocument/2006/relationships/hyperlink" Target="#Tipo_DGSFP!A1" TargetMode="External" Id="rId2"/><Relationship Type="http://schemas.openxmlformats.org/officeDocument/2006/relationships/hyperlink" Target="#VA_5_10_20!A1" TargetMode="External" Id="rId3"/><Relationship Type="http://schemas.openxmlformats.org/officeDocument/2006/relationships/hyperlink" Target="#Sens_50_100bp!A1" TargetMode="External" Id="rId4"/><Relationship Type="http://schemas.openxmlformats.org/officeDocument/2006/relationships/hyperlink" Target="#SemiMatching!A1" TargetMode="External" Id="rId5"/><Relationship Type="http://schemas.openxmlformats.org/officeDocument/2006/relationships/hyperlink" Target="#NoEuro!A1" TargetMode="External" Id="rId6"/><Relationship Type="http://schemas.openxmlformats.org/officeDocument/2006/relationships/hyperlink" Target="#Garantia_1y!A1" TargetMode="External" Id="rId7"/><Relationship Type="http://schemas.openxmlformats.org/officeDocument/2006/relationships/hyperlink" Target="#CF_Matching!A1" TargetMode="External" Id="rId8"/><Relationship Type="http://schemas.openxmlformats.org/officeDocument/2006/relationships/hyperlink" Target="#Dur_Matching!A1" TargetMode="External" Id="rId9"/><Relationship Type="http://schemas.openxmlformats.org/officeDocument/2006/relationships/hyperlink" Target="#Rentabilidad_Real!A1" TargetMode="External" Id="rId10"/><Relationship Type="http://schemas.openxmlformats.org/officeDocument/2006/relationships/hyperlink" Target="#Pre1999!A1" TargetMode="External" Id="rId11"/><Relationship Type="http://schemas.openxmlformats.org/officeDocument/2006/relationships/hyperlink" Target="#Pre2016!A1" TargetMode="External" Id="rId12"/><Relationship Type="http://schemas.openxmlformats.org/officeDocument/2006/relationships/hyperlink" Target="#Post2016!A1" TargetMode="External" Id="rId13"/><Relationship Type="http://schemas.openxmlformats.org/officeDocument/2006/relationships/hyperlink" Target="#PB!A1" TargetMode="External" Id="rId14"/><Relationship Type="http://schemas.openxmlformats.org/officeDocument/2006/relationships/hyperlink" Target="#Fallback_33_4!A1" TargetMode="External" Id="rId15"/></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4" customWidth="1" min="1" max="1"/>
    <col width="32" customWidth="1" min="2" max="2"/>
    <col width="70" customWidth="1" min="3" max="3"/>
    <col width="20" customWidth="1" min="4" max="4"/>
  </cols>
  <sheetData>
    <row r="1" ht="28" customHeight="1">
      <c r="A1" s="1" t="inlineStr">
        <is>
          <t>📘 Ejemplos Artículo 33 ROSSP (RD 2486/1998) — Índice</t>
        </is>
      </c>
    </row>
    <row r="2">
      <c r="A2" s="2" t="inlineStr">
        <is>
          <t>Usuario: José Valencia Figueroa   |   Fecha de generación: 2026-09-30   |   Versión: 1.0</t>
        </is>
      </c>
    </row>
    <row r="4" ht="30" customHeight="1">
      <c r="A4" s="3" t="inlineStr">
        <is>
          <t>⚠ Todos los datos numéricos (tipos de mercado, curvas, flujos) de este libro son EJEMPLOS HIPOTÉTICOS EXCLUSIVAMENTE DIDÁCTICOS, salvo los tipos DGSFP históricos publicados en BOE que se citan expresamente con fuente.</t>
        </is>
      </c>
    </row>
    <row r="6">
      <c r="A6" s="4" t="inlineStr">
        <is>
          <t>#</t>
        </is>
      </c>
      <c r="B6" s="4" t="inlineStr">
        <is>
          <t>Hoja</t>
        </is>
      </c>
      <c r="C6" s="4" t="inlineStr">
        <is>
          <t>Descripción</t>
        </is>
      </c>
      <c r="D6" s="4" t="inlineStr">
        <is>
          <t>Apartado ROSSP</t>
        </is>
      </c>
    </row>
    <row r="7" ht="28" customHeight="1">
      <c r="A7" s="5" t="n">
        <v>1</v>
      </c>
      <c r="B7" s="6" t="inlineStr">
        <is>
          <t>01_Inputs_Globales</t>
        </is>
      </c>
      <c r="C7" s="7" t="inlineStr">
        <is>
          <t>Convenciones de tipo (efectiva/nominal), base temporal, supuestos generales</t>
        </is>
      </c>
      <c r="D7" s="5" t="inlineStr">
        <is>
          <t>Transversal</t>
        </is>
      </c>
    </row>
    <row r="8" ht="28" customHeight="1">
      <c r="A8" s="5" t="n">
        <v>2</v>
      </c>
      <c r="B8" s="6" t="inlineStr">
        <is>
          <t>Tipo_DGSFP</t>
        </is>
      </c>
      <c r="C8" s="7" t="inlineStr">
        <is>
          <t>Cálculo del tipo DGSFP art.33.1.a).1º — bonos Estado + ajuste euroswap 11a + tope 20a</t>
        </is>
      </c>
      <c r="D8" s="5" t="inlineStr">
        <is>
          <t>Art. 33.1.a).1.º</t>
        </is>
      </c>
    </row>
    <row r="9" ht="28" customHeight="1">
      <c r="A9" s="5" t="n">
        <v>3</v>
      </c>
      <c r="B9" s="6" t="inlineStr">
        <is>
          <t>VA_5_10_20</t>
        </is>
      </c>
      <c r="C9" s="7" t="inlineStr">
        <is>
          <t>Valor actual de un capital diferido a 5/10/20 años al tipo DGSFP vigente</t>
        </is>
      </c>
      <c r="D9" s="5" t="inlineStr">
        <is>
          <t>Art. 33.1 / Art.32</t>
        </is>
      </c>
    </row>
    <row r="10" ht="28" customHeight="1">
      <c r="A10" s="5" t="n">
        <v>4</v>
      </c>
      <c r="B10" s="6" t="inlineStr">
        <is>
          <t>Sens_50_100bp</t>
        </is>
      </c>
      <c r="C10" s="7" t="inlineStr">
        <is>
          <t>Sensibilidad de la provisión matemática a shocks de ±50/±100 pb</t>
        </is>
      </c>
      <c r="D10" s="5" t="inlineStr">
        <is>
          <t>Análisis ALM</t>
        </is>
      </c>
    </row>
    <row r="11" ht="28" customHeight="1">
      <c r="A11" s="5" t="n">
        <v>5</v>
      </c>
      <c r="B11" s="6" t="inlineStr">
        <is>
          <t>SemiMatching</t>
        </is>
      </c>
      <c r="C11" s="7" t="inlineStr">
        <is>
          <t>Semi-matching: comparación duración cobros vs pagos y descuento en 2 tramos</t>
        </is>
      </c>
      <c r="D11" s="5" t="inlineStr">
        <is>
          <t>Art. 33.1.a).2.º</t>
        </is>
      </c>
    </row>
    <row r="12" ht="28" customHeight="1">
      <c r="A12" s="5" t="n">
        <v>6</v>
      </c>
      <c r="B12" s="6" t="inlineStr">
        <is>
          <t>NoEuro</t>
        </is>
      </c>
      <c r="C12" s="7" t="inlineStr">
        <is>
          <t>Analogía de límites para seguros en moneda distinta del euro</t>
        </is>
      </c>
      <c r="D12" s="5" t="inlineStr">
        <is>
          <t>Art. 33.1.b)</t>
        </is>
      </c>
    </row>
    <row r="13" ht="28" customHeight="1">
      <c r="A13" s="5" t="n">
        <v>7</v>
      </c>
      <c r="B13" s="6" t="inlineStr">
        <is>
          <t>Garantia_1y</t>
        </is>
      </c>
      <c r="C13" s="7" t="inlineStr">
        <is>
          <t>Tipo garantizado fijado por periodos ≤ 1 año</t>
        </is>
      </c>
      <c r="D13" s="5" t="inlineStr">
        <is>
          <t>Art. 33.1.c)</t>
        </is>
      </c>
    </row>
    <row r="14" ht="28" customHeight="1">
      <c r="A14" s="5" t="n">
        <v>8</v>
      </c>
      <c r="B14" s="6" t="inlineStr">
        <is>
          <t>CF_Matching</t>
        </is>
      </c>
      <c r="C14" s="7" t="inlineStr">
        <is>
          <t>Cash-flow matching: TIR de cartera de activos afectos con flujos coincidentes</t>
        </is>
      </c>
      <c r="D14" s="5" t="inlineStr">
        <is>
          <t>Art. 33.2</t>
        </is>
      </c>
    </row>
    <row r="15" ht="28" customHeight="1">
      <c r="A15" s="5" t="n">
        <v>9</v>
      </c>
      <c r="B15" s="6" t="inlineStr">
        <is>
          <t>Dur_Matching</t>
        </is>
      </c>
      <c r="C15" s="7" t="inlineStr">
        <is>
          <t>Duration matching: igualación de duración modificada activo-pasivo</t>
        </is>
      </c>
      <c r="D15" s="5" t="inlineStr">
        <is>
          <t>Art. 33.2 (desarrollo Orden 2007)</t>
        </is>
      </c>
    </row>
    <row r="16" ht="28" customHeight="1">
      <c r="A16" s="5" t="n">
        <v>10</v>
      </c>
      <c r="B16" s="6" t="inlineStr">
        <is>
          <t>Rentabilidad_Real</t>
        </is>
      </c>
      <c r="C16" s="7" t="inlineStr">
        <is>
          <t>Rentabilidad real inferior al tipo técnico medio → uso de rentabilidad real</t>
        </is>
      </c>
      <c r="D16" s="5" t="inlineStr">
        <is>
          <t>Art. 33.1 último párrafo / DT2ª</t>
        </is>
      </c>
    </row>
    <row r="17" ht="28" customHeight="1">
      <c r="A17" s="5" t="n">
        <v>11</v>
      </c>
      <c r="B17" s="6" t="inlineStr">
        <is>
          <t>Pre1999</t>
        </is>
      </c>
      <c r="C17" s="7" t="inlineStr">
        <is>
          <t>Compromisos anteriores a la entrada en vigor del ROSSP (DT2ª)</t>
        </is>
      </c>
      <c r="D17" s="5" t="inlineStr">
        <is>
          <t>Disposición Transitoria 2.ª</t>
        </is>
      </c>
    </row>
    <row r="18" ht="28" customHeight="1">
      <c r="A18" s="5" t="n">
        <v>12</v>
      </c>
      <c r="B18" s="6" t="inlineStr">
        <is>
          <t>Pre2016</t>
        </is>
      </c>
      <c r="C18" s="7" t="inlineStr">
        <is>
          <t>Contratos anteriores a 1-1-2016: aplicación art.33 vía DA5ª RD 1060/2015</t>
        </is>
      </c>
      <c r="D18" s="5" t="inlineStr">
        <is>
          <t>DA 5.ª RD 1060/2015</t>
        </is>
      </c>
    </row>
    <row r="19" ht="28" customHeight="1">
      <c r="A19" s="5" t="n">
        <v>13</v>
      </c>
      <c r="B19" s="6" t="inlineStr">
        <is>
          <t>Post2016</t>
        </is>
      </c>
      <c r="C19" s="7" t="inlineStr">
        <is>
          <t>Nueva producción desde 2016: ETTI libre de riesgo EIOPA + VA</t>
        </is>
      </c>
      <c r="D19" s="5" t="inlineStr">
        <is>
          <t>Guía Técnica DGSFP 2016 / RD 1060/2015 art.54-57</t>
        </is>
      </c>
    </row>
    <row r="20" ht="28" customHeight="1">
      <c r="A20" s="5" t="n">
        <v>14</v>
      </c>
      <c r="B20" s="6" t="inlineStr">
        <is>
          <t>PB</t>
        </is>
      </c>
      <c r="C20" s="7" t="inlineStr">
        <is>
          <t>Participación en beneficios: tope al tipo usado para el cálculo de la prima</t>
        </is>
      </c>
      <c r="D20" s="5" t="inlineStr">
        <is>
          <t>Art. 33.3</t>
        </is>
      </c>
    </row>
    <row r="21" ht="28" customHeight="1">
      <c r="A21" s="5" t="n">
        <v>15</v>
      </c>
      <c r="B21" s="6" t="inlineStr">
        <is>
          <t>Fallback_33_4</t>
        </is>
      </c>
      <c r="C21" s="7" t="inlineStr">
        <is>
          <t>Incumplimiento de requisitos del 33.2 → reversión al régimen general 33.1</t>
        </is>
      </c>
      <c r="D21" s="5" t="inlineStr">
        <is>
          <t>Art. 33.4</t>
        </is>
      </c>
    </row>
    <row r="24">
      <c r="A24" s="8" t="inlineStr">
        <is>
          <t>Convenciones del libro:</t>
        </is>
      </c>
    </row>
    <row r="25">
      <c r="A25" s="9" t="inlineStr">
        <is>
          <t>• Convención de tipo por defecto: EFECTIVA ANUAL. Si se usa nominal, ver hoja 01_Inputs_Globales (conversión i_eff=(1+j/m)^m−1).</t>
        </is>
      </c>
    </row>
    <row r="26">
      <c r="A26" s="9" t="inlineStr">
        <is>
          <t>• Base temporal: años (t entero o decimal), descuento (1+i)^t. NO se usan convenciones de day-count (ACT/365, 30/360) salvo modo avanzado.</t>
        </is>
      </c>
    </row>
    <row r="27">
      <c r="A27" s="9" t="inlineStr">
        <is>
          <t>• Cada hoja de caso contiene: Inputs, Cálculo paso a paso con fórmulas nativas, Resultado, Checks y caja 'Norma vs Hipótesis'.</t>
        </is>
      </c>
    </row>
    <row r="28">
      <c r="A28" s="9" t="inlineStr">
        <is>
          <t>• Columna 'Recalculo_Python' junto a cada resultado clave, como segunda comprobación independiente.</t>
        </is>
      </c>
    </row>
    <row r="29">
      <c r="A29" s="9" t="inlineStr">
        <is>
          <t>• NINGÚN dato de mercado (bonos, euroswap, ETTI) es real de un ejercicio concreto salvo que se cite expresamente fuente BOE.</t>
        </is>
      </c>
    </row>
  </sheetData>
  <mergeCells count="8">
    <mergeCell ref="A1:D1"/>
    <mergeCell ref="A27:D27"/>
    <mergeCell ref="A4:D4"/>
    <mergeCell ref="A26:D26"/>
    <mergeCell ref="A29:D29"/>
    <mergeCell ref="A25:D25"/>
    <mergeCell ref="A2:D2"/>
    <mergeCell ref="A28:D28"/>
  </mergeCells>
  <hyperlinks>
    <hyperlink xmlns:r="http://schemas.openxmlformats.org/officeDocument/2006/relationships" ref="B7" r:id="rId1"/>
    <hyperlink xmlns:r="http://schemas.openxmlformats.org/officeDocument/2006/relationships" ref="B8" r:id="rId2"/>
    <hyperlink xmlns:r="http://schemas.openxmlformats.org/officeDocument/2006/relationships" ref="B9" r:id="rId3"/>
    <hyperlink xmlns:r="http://schemas.openxmlformats.org/officeDocument/2006/relationships" ref="B10" r:id="rId4"/>
    <hyperlink xmlns:r="http://schemas.openxmlformats.org/officeDocument/2006/relationships" ref="B11" r:id="rId5"/>
    <hyperlink xmlns:r="http://schemas.openxmlformats.org/officeDocument/2006/relationships" ref="B12" r:id="rId6"/>
    <hyperlink xmlns:r="http://schemas.openxmlformats.org/officeDocument/2006/relationships" ref="B13" r:id="rId7"/>
    <hyperlink xmlns:r="http://schemas.openxmlformats.org/officeDocument/2006/relationships" ref="B14" r:id="rId8"/>
    <hyperlink xmlns:r="http://schemas.openxmlformats.org/officeDocument/2006/relationships" ref="B15" r:id="rId9"/>
    <hyperlink xmlns:r="http://schemas.openxmlformats.org/officeDocument/2006/relationships" ref="B16" r:id="rId10"/>
    <hyperlink xmlns:r="http://schemas.openxmlformats.org/officeDocument/2006/relationships" ref="B17" r:id="rId11"/>
    <hyperlink xmlns:r="http://schemas.openxmlformats.org/officeDocument/2006/relationships" ref="B18" r:id="rId12"/>
    <hyperlink xmlns:r="http://schemas.openxmlformats.org/officeDocument/2006/relationships" ref="B19" r:id="rId13"/>
    <hyperlink xmlns:r="http://schemas.openxmlformats.org/officeDocument/2006/relationships" ref="B20" r:id="rId14"/>
    <hyperlink xmlns:r="http://schemas.openxmlformats.org/officeDocument/2006/relationships" ref="B21"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showGridLines="0" workbookViewId="0">
      <pane ySplit="3" topLeftCell="A4" activePane="bottomLeft" state="frozen"/>
      <selection pane="bottomLeft" activeCell="A1" sqref="A1"/>
    </sheetView>
  </sheetViews>
  <sheetFormatPr baseColWidth="8" defaultRowHeight="15"/>
  <cols>
    <col width="34" customWidth="1" min="1" max="1"/>
    <col width="20" customWidth="1" min="2" max="2"/>
    <col width="20" customWidth="1" min="3" max="3"/>
    <col width="50" customWidth="1" min="4" max="4"/>
  </cols>
  <sheetData>
    <row r="1" ht="26" customHeight="1">
      <c r="A1" s="1" t="inlineStr">
        <is>
          <t>⚙️ 01. Inputs Globales y Convención de Tipo</t>
        </is>
      </c>
    </row>
    <row r="3">
      <c r="A3" s="10" t="inlineStr">
        <is>
          <t>1. Selector de convención de tipo de interés</t>
        </is>
      </c>
    </row>
    <row r="5">
      <c r="A5" s="11" t="inlineStr">
        <is>
          <t>Convención_tipo</t>
        </is>
      </c>
      <c r="B5" s="12" t="inlineStr">
        <is>
          <t>Efectiva anual (default)</t>
        </is>
      </c>
    </row>
    <row r="6">
      <c r="A6" s="11" t="inlineStr">
        <is>
          <t>j_nominal (si aplica, anual)</t>
        </is>
      </c>
      <c r="B6" s="13" t="n">
        <v>0.02</v>
      </c>
    </row>
    <row r="7">
      <c r="A7" s="11" t="inlineStr">
        <is>
          <t>m_capitalizaciones</t>
        </is>
      </c>
      <c r="B7" s="12" t="n">
        <v>12</v>
      </c>
    </row>
    <row r="9">
      <c r="A9" s="14" t="inlineStr">
        <is>
          <t>i_efectiva_equivalente</t>
        </is>
      </c>
      <c r="B9" s="15">
        <f>IF(B5="Nominal anual",(1+B6/B7)^B7-1,B6)</f>
        <v/>
      </c>
      <c r="C9" t="inlineStr">
        <is>
          <t>Recalculo_Python</t>
        </is>
      </c>
      <c r="D9" s="16" t="n">
        <v>0.02018435568150179</v>
      </c>
    </row>
    <row r="10">
      <c r="A10" s="17" t="inlineStr">
        <is>
          <t>Fórmula visible</t>
        </is>
      </c>
      <c r="B10" s="17" t="inlineStr">
        <is>
          <t>i_eff = (1 + j/m)^m − 1  si Nominal; = j si Efectiva anual</t>
        </is>
      </c>
    </row>
    <row r="12">
      <c r="A12" s="18" t="inlineStr">
        <is>
          <t>⚠ Error frecuente: nominal vs. efectivo</t>
        </is>
      </c>
    </row>
    <row r="13" ht="60" customHeight="1">
      <c r="A13" s="19" t="inlineStr">
        <is>
          <t>Mini-ejemplo: un tipo NOMINAL anual del 2% capitalizable mensualmente (m=12) NO equivale a un 2% efectivo anual. El efectivo real es (1+0.02/12)^12−1 ≈ 2.0184%. Confundir ambos infravalora ligeramente el descuento aplicado y, por tanto, SOBREVALORA la provisión si se usa el nominal como si fuese efectivo.</t>
        </is>
      </c>
    </row>
    <row r="14"/>
    <row r="15"/>
    <row r="17">
      <c r="A17" s="10" t="inlineStr">
        <is>
          <t>2. Base temporal (modo didáctico)</t>
        </is>
      </c>
    </row>
    <row r="19">
      <c r="A19" s="20" t="inlineStr">
        <is>
          <t>Convención de días</t>
        </is>
      </c>
      <c r="B19" s="21" t="inlineStr">
        <is>
          <t>Base anual simple (t en años)</t>
        </is>
      </c>
    </row>
    <row r="20">
      <c r="A20" s="20" t="inlineStr">
        <is>
          <t>Fórmula de descuento estándar</t>
        </is>
      </c>
      <c r="B20" s="21" t="inlineStr">
        <is>
          <t>VA = C / (1+i)^t</t>
        </is>
      </c>
    </row>
    <row r="21">
      <c r="A21" s="20" t="inlineStr">
        <is>
          <t>Modo avanzado (day-count)</t>
        </is>
      </c>
      <c r="B21" s="22" t="inlineStr">
        <is>
          <t>NO activado por defecto (extensión opcional no incluida en este libro)</t>
        </is>
      </c>
    </row>
    <row r="23">
      <c r="A23" s="10" t="inlineStr">
        <is>
          <t>3. Serie histórica Tipo DGSFP art.33.1.a).1.º — Fuente: Resoluciones DGSFP (BOE)</t>
        </is>
      </c>
    </row>
    <row r="24">
      <c r="A24" s="23" t="inlineStr">
        <is>
          <t>Ejercicio</t>
        </is>
      </c>
      <c r="B24" s="23" t="inlineStr">
        <is>
          <t>Tipo máx. (%)</t>
        </is>
      </c>
      <c r="C24" s="23" t="inlineStr">
        <is>
          <t>Fuente BOE</t>
        </is>
      </c>
    </row>
    <row r="25">
      <c r="A25" s="5" t="n">
        <v>2016</v>
      </c>
      <c r="B25" s="24" t="n">
        <v>0.0139</v>
      </c>
      <c r="C25" s="5" t="inlineStr">
        <is>
          <t>BOE-A-2016-722 (15-ene-2016)</t>
        </is>
      </c>
      <c r="D25" s="25" t="n"/>
    </row>
    <row r="26">
      <c r="A26" s="5" t="n">
        <v>2017</v>
      </c>
      <c r="B26" s="24" t="n">
        <v>0.0109</v>
      </c>
      <c r="C26" s="5" t="inlineStr">
        <is>
          <t>BOE-A-2017-371 (2-ene-2017)</t>
        </is>
      </c>
      <c r="D26" s="25" t="n"/>
    </row>
    <row r="27">
      <c r="A27" s="5" t="n">
        <v>2018</v>
      </c>
      <c r="B27" s="24" t="n">
        <v>0.0098</v>
      </c>
      <c r="C27" s="5" t="inlineStr">
        <is>
          <t>BOE-A-2018-543 (2-ene-2018)</t>
        </is>
      </c>
      <c r="D27" s="25" t="n"/>
    </row>
    <row r="28">
      <c r="A28" s="5" t="n">
        <v>2019</v>
      </c>
      <c r="B28" s="24" t="n">
        <v>0.0098</v>
      </c>
      <c r="C28" s="5" t="inlineStr">
        <is>
          <t>BOE-A-2019-276 (2-ene-2019)</t>
        </is>
      </c>
      <c r="D28" s="25" t="n"/>
    </row>
    <row r="29">
      <c r="A29" s="5" t="n">
        <v>2020</v>
      </c>
      <c r="B29" s="24" t="n">
        <v>0.0059</v>
      </c>
      <c r="C29" s="5" t="inlineStr">
        <is>
          <t>BOE-A-2020-1637 (2-ene-2020)</t>
        </is>
      </c>
      <c r="D29" s="25" t="n"/>
    </row>
    <row r="30">
      <c r="A30" s="5" t="n">
        <v>2021</v>
      </c>
      <c r="B30" s="24" t="n">
        <v>0.0054</v>
      </c>
      <c r="C30" s="5" t="inlineStr">
        <is>
          <t>BOE-A-2021-512 (7-ene-2021)</t>
        </is>
      </c>
      <c r="D30" s="25" t="n"/>
    </row>
    <row r="31">
      <c r="A31" s="5" t="n">
        <v>2022</v>
      </c>
      <c r="B31" s="24" t="n">
        <v>0.0046</v>
      </c>
      <c r="C31" s="5" t="inlineStr">
        <is>
          <t>BOE-A-2022-1766 (21-ene-2022)</t>
        </is>
      </c>
      <c r="D31" s="25" t="n"/>
    </row>
    <row r="32">
      <c r="A32" s="5" t="n">
        <v>2023</v>
      </c>
      <c r="B32" s="24" t="n">
        <v>0.0188</v>
      </c>
      <c r="C32" s="5" t="inlineStr">
        <is>
          <t>BOE-A-2023-1763 (11-ene-2023)</t>
        </is>
      </c>
      <c r="D32" s="25" t="n"/>
    </row>
    <row r="33">
      <c r="A33" s="5" t="n">
        <v>2024</v>
      </c>
      <c r="B33" s="24" t="n">
        <v>0.0218</v>
      </c>
      <c r="C33" s="5" t="inlineStr">
        <is>
          <t>BOE-A-2024-891 (9-ene-2024)</t>
        </is>
      </c>
      <c r="D33" s="25" t="n"/>
    </row>
    <row r="34">
      <c r="A34" s="5" t="n">
        <v>2025</v>
      </c>
      <c r="B34" s="24" t="n">
        <v>0.0183</v>
      </c>
      <c r="C34" s="5" t="inlineStr">
        <is>
          <t>BOE-A-2025-1305 (8-ene-2025)</t>
        </is>
      </c>
      <c r="D34" s="25" t="n"/>
    </row>
    <row r="35">
      <c r="A35" s="5" t="n">
        <v>2026</v>
      </c>
      <c r="B35" s="24" t="n">
        <v>0.0195</v>
      </c>
      <c r="C35" s="5" t="inlineStr">
        <is>
          <t>BOE-A-2026-1226 (9-ene-2026)</t>
        </is>
      </c>
      <c r="D35" s="25" t="n"/>
    </row>
    <row r="37">
      <c r="A37" s="26" t="inlineStr">
        <is>
          <t>Nota: serie con fines didácticos; para cálculos contables reales de un ejercicio concreto, verificar la resolución DGSFP vigente en cada fecha de cierre.</t>
        </is>
      </c>
    </row>
  </sheetData>
  <mergeCells count="17">
    <mergeCell ref="B10:D10"/>
    <mergeCell ref="A1:D1"/>
    <mergeCell ref="A13:D15"/>
    <mergeCell ref="C34:D34"/>
    <mergeCell ref="A37:D37"/>
    <mergeCell ref="C29:D29"/>
    <mergeCell ref="C24:D24"/>
    <mergeCell ref="C30:D30"/>
    <mergeCell ref="C32:D32"/>
    <mergeCell ref="A12:D12"/>
    <mergeCell ref="C25:D25"/>
    <mergeCell ref="C33:D33"/>
    <mergeCell ref="C27:D27"/>
    <mergeCell ref="C28:D28"/>
    <mergeCell ref="C31:D31"/>
    <mergeCell ref="C26:D26"/>
    <mergeCell ref="C35:D35"/>
  </mergeCells>
  <dataValidations count="2">
    <dataValidation sqref="B5" showDropDown="0" showInputMessage="0" showErrorMessage="0" allowBlank="0" type="list">
      <formula1>"Efectiva anual (default),Nominal anual"</formula1>
    </dataValidation>
    <dataValidation sqref="B7" showDropDown="0" showInputMessage="0" showErrorMessage="0" allowBlank="0" type="list">
      <formula1>"1,2,4,12"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showGridLines="0" workbookViewId="0">
      <pane ySplit="3" topLeftCell="A4" activePane="bottomLeft" state="frozen"/>
      <selection pane="bottomLeft" activeCell="A1" sqref="A1"/>
    </sheetView>
  </sheetViews>
  <sheetFormatPr baseColWidth="8" defaultRowHeight="15"/>
  <cols>
    <col width="38" customWidth="1" min="1" max="1"/>
    <col width="18" customWidth="1" min="2" max="2"/>
    <col width="18" customWidth="1" min="3" max="3"/>
    <col width="18" customWidth="1" min="4" max="4"/>
    <col width="18" customWidth="1" min="5" max="5"/>
    <col width="18" customWidth="1" min="6" max="6"/>
  </cols>
  <sheetData>
    <row r="1" ht="26" customHeight="1">
      <c r="A1" s="1" t="inlineStr">
        <is>
          <t>📊 Tipo_DGSFP — Cálculo Art. 33.1.a).1.º ROSSP</t>
        </is>
      </c>
    </row>
    <row r="2">
      <c r="A2" s="27" t="inlineStr">
        <is>
          <t>⚠ EJEMPLO HIPOTÉTICO EXCLUSIVAMENTE DIDÁCTICO. No usar como dato real de mercado ni de entidad alguna.</t>
        </is>
      </c>
    </row>
    <row r="4">
      <c r="A4" s="10" t="inlineStr">
        <is>
          <t>INPUTS (hipotéticos)</t>
        </is>
      </c>
    </row>
    <row r="5">
      <c r="A5" s="28" t="inlineStr">
        <is>
          <t>Bonos/oblig. Estado, media último trim. ejerc. anterior</t>
        </is>
      </c>
      <c r="B5" s="13" t="n">
        <v>0.032</v>
      </c>
    </row>
    <row r="6">
      <c r="A6" s="28" t="inlineStr">
        <is>
          <t>Tipo DGSFP publicado ejercicio anterior</t>
        </is>
      </c>
      <c r="B6" s="13" t="n">
        <v>0.0183</v>
      </c>
    </row>
    <row r="7">
      <c r="A7" s="28" t="inlineStr">
        <is>
          <t>Tipo curva euroswap punto 11 años (31-dic ejerc.anterior)</t>
        </is>
      </c>
      <c r="B7" s="13" t="n">
        <v>0.025</v>
      </c>
    </row>
    <row r="8">
      <c r="A8" s="28" t="inlineStr">
        <is>
          <t>Bonos/oblig. Estado a 20+ años, media último trim.</t>
        </is>
      </c>
      <c r="B8" s="13" t="n">
        <v>0.035</v>
      </c>
    </row>
    <row r="10">
      <c r="A10" s="10" t="inlineStr">
        <is>
          <t>CÁLCULO PASO A PASO (fórmulas nativas Excel)</t>
        </is>
      </c>
    </row>
    <row r="11">
      <c r="A11" s="20" t="inlineStr">
        <is>
          <t>Paso 1: Tipo base (60% bonos medio trim.)</t>
        </is>
      </c>
      <c r="B11" s="29">
        <f>0.6*B5</f>
        <v/>
      </c>
    </row>
    <row r="12">
      <c r="A12" s="20" t="inlineStr">
        <is>
          <t>Paso 2: Ajuste = 50%×(Tipo DGSFP año ant. − Euroswap 11a)</t>
        </is>
      </c>
      <c r="B12" s="29">
        <f>0.5*(B6-B7)</f>
        <v/>
      </c>
    </row>
    <row r="13">
      <c r="A13" s="20" t="inlineStr">
        <is>
          <t>Paso 3: Tipo resultante (Paso1+Paso2)</t>
        </is>
      </c>
      <c r="B13" s="29">
        <f>B11+B12</f>
        <v/>
      </c>
    </row>
    <row r="14">
      <c r="A14" s="20" t="inlineStr">
        <is>
          <t>Paso 4: Tope máximo = 60% bonos 20+ años</t>
        </is>
      </c>
      <c r="B14" s="29">
        <f>0.6*B8</f>
        <v/>
      </c>
    </row>
    <row r="16">
      <c r="A16" s="10" t="inlineStr">
        <is>
          <t>RESULTADO</t>
        </is>
      </c>
    </row>
    <row r="17">
      <c r="A17" s="14" t="inlineStr">
        <is>
          <t>Tipo DGSFP art.33.1.a).1.º (MIN(Paso3,Paso4))</t>
        </is>
      </c>
      <c r="B17" s="15">
        <f>MIN(B13,B14)</f>
        <v/>
      </c>
      <c r="D17" s="30" t="inlineStr">
        <is>
          <t>Recalculo_Python</t>
        </is>
      </c>
      <c r="E17" s="16" t="n">
        <v>0.01585</v>
      </c>
    </row>
    <row r="19">
      <c r="A19" s="10" t="inlineStr">
        <is>
          <t>CHECKS</t>
        </is>
      </c>
    </row>
    <row r="20">
      <c r="A20" s="20" t="inlineStr">
        <is>
          <t>¿Excel == Python? (tolerancia 1e-6)</t>
        </is>
      </c>
      <c r="B20" s="31">
        <f>IF(ABS(B17-E17)&lt;0.000001,"✔ OK","✘ REVISAR")</f>
        <v/>
      </c>
    </row>
    <row r="22">
      <c r="A22" s="32" t="inlineStr">
        <is>
          <t>NORMA vs HIPÓTESIS</t>
        </is>
      </c>
    </row>
    <row r="23">
      <c r="A23" s="33" t="inlineStr">
        <is>
          <t>Norma (ROSSP art.33 / conexos):</t>
        </is>
      </c>
      <c r="B23" s="9" t="inlineStr">
        <is>
          <t>RD 2486/1998, art. 33.1.a).1.º: 60% tipos medios bonos/obligaciones Estado últ. trim. ejerc. anterior, incrementado en 50% de la diferencia (tipo DGSFP año anterior − curva euroswap 11a a 31-dic), con tope 60% de bonos a 20+ años. DGSFP publica el resultado en su web.</t>
        </is>
      </c>
    </row>
    <row r="24">
      <c r="A24" s="33" t="inlineStr">
        <is>
          <t>Hipótesis didáctica usada:</t>
        </is>
      </c>
      <c r="B24" s="30" t="inlineStr">
        <is>
          <t>Los cuatro inputs de mercado (bonos medio trim., euroswap 11a, bonos 20a+) son HIPOTÉTICOS. El 'tipo DGSFP publicado ejercicio anterior' usa como referencia el dato real 2025 (1,83%) publicado en BOE-A-2025-1305, solo a efectos de anclar el ejemplo a un valor plausible; no reproduce el cálculo oficial completo de la DGSFP.</t>
        </is>
      </c>
    </row>
  </sheetData>
  <mergeCells count="5">
    <mergeCell ref="A2:F2"/>
    <mergeCell ref="B24:F24"/>
    <mergeCell ref="A1:F1"/>
    <mergeCell ref="A22:F22"/>
    <mergeCell ref="B23:F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38" customWidth="1" min="1" max="1"/>
    <col width="18" customWidth="1" min="2" max="2"/>
    <col width="18" customWidth="1" min="3" max="3"/>
    <col width="18" customWidth="1" min="4" max="4"/>
    <col width="18" customWidth="1" min="5" max="5"/>
    <col width="18" customWidth="1" min="6" max="6"/>
  </cols>
  <sheetData>
    <row r="1" ht="26" customHeight="1">
      <c r="A1" s="1" t="inlineStr">
        <is>
          <t>💰 VA_5_10_20 — Valor Actual de Capital Diferido</t>
        </is>
      </c>
    </row>
    <row r="2">
      <c r="A2" s="27" t="inlineStr">
        <is>
          <t>⚠ EJEMPLO HIPOTÉTICO EXCLUSIVAMENTE DIDÁCTICO. No usar como dato real de mercado ni de entidad alguna.</t>
        </is>
      </c>
    </row>
    <row r="4">
      <c r="A4" s="10" t="inlineStr">
        <is>
          <t>INPUTS</t>
        </is>
      </c>
    </row>
    <row r="5">
      <c r="A5" s="28" t="inlineStr">
        <is>
          <t>Capital diferido (C)</t>
        </is>
      </c>
      <c r="B5" s="12" t="n">
        <v>100000</v>
      </c>
    </row>
    <row r="6">
      <c r="A6" s="28" t="inlineStr">
        <is>
          <t>Tipo DGSFP vigente (i) — ref. Ejercicio 2026</t>
        </is>
      </c>
      <c r="B6" s="13" t="n">
        <v>0.0195</v>
      </c>
    </row>
    <row r="8">
      <c r="A8" s="10" t="inlineStr">
        <is>
          <t>CÁLCULO PASO A PASO — VA = C/(1+i)^t</t>
        </is>
      </c>
    </row>
    <row r="9">
      <c r="A9" s="4" t="inlineStr">
        <is>
          <t>Plazo t (años)</t>
        </is>
      </c>
      <c r="B9" s="4" t="inlineStr">
        <is>
          <t>Factor descuento (1+i)^-t</t>
        </is>
      </c>
      <c r="C9" s="4" t="inlineStr">
        <is>
          <t>VA = C x Factor</t>
        </is>
      </c>
      <c r="D9" s="4" t="inlineStr">
        <is>
          <t>Recalculo_Python</t>
        </is>
      </c>
      <c r="E9" s="4" t="inlineStr">
        <is>
          <t>Check</t>
        </is>
      </c>
    </row>
    <row r="10">
      <c r="A10" s="5" t="n">
        <v>5</v>
      </c>
      <c r="B10" s="34">
        <f>(1+$B$6)^(-A10)</f>
        <v/>
      </c>
      <c r="C10" s="35">
        <f>$B$5*B10</f>
        <v/>
      </c>
      <c r="D10" s="36" t="n">
        <v>90795.40066237352</v>
      </c>
      <c r="E10" s="31">
        <f>IF(ABS(C10-D10)&lt;0.01,"✔ OK","✘ REVISAR")</f>
        <v/>
      </c>
    </row>
    <row r="11">
      <c r="A11" s="5" t="n">
        <v>10</v>
      </c>
      <c r="B11" s="34">
        <f>(1+$B$6)^(-A11)</f>
        <v/>
      </c>
      <c r="C11" s="35">
        <f>$B$5*B11</f>
        <v/>
      </c>
      <c r="D11" s="36" t="n">
        <v>82438.04781440939</v>
      </c>
      <c r="E11" s="31">
        <f>IF(ABS(C11-D11)&lt;0.01,"✔ OK","✘ REVISAR")</f>
        <v/>
      </c>
    </row>
    <row r="12">
      <c r="A12" s="5" t="n">
        <v>20</v>
      </c>
      <c r="B12" s="34">
        <f>(1+$B$6)^(-A12)</f>
        <v/>
      </c>
      <c r="C12" s="35">
        <f>$B$5*B12</f>
        <v/>
      </c>
      <c r="D12" s="36" t="n">
        <v>67960.31727450849</v>
      </c>
      <c r="E12" s="31">
        <f>IF(ABS(C12-D12)&lt;0.01,"✔ OK","✘ REVISAR")</f>
        <v/>
      </c>
    </row>
    <row r="15" ht="18" customHeight="1">
      <c r="A15" s="37" t="inlineStr">
        <is>
          <t>NORMA vs HIPÓTESIS</t>
        </is>
      </c>
      <c r="B15" s="5" t="n"/>
      <c r="C15" s="5" t="n"/>
      <c r="D15" s="5" t="n"/>
      <c r="E15" s="5" t="n"/>
      <c r="F15" s="5" t="n"/>
    </row>
    <row r="16" ht="45" customHeight="1">
      <c r="A16" s="38" t="inlineStr">
        <is>
          <t>Norma (ROSSP art.33 / conexos):</t>
        </is>
      </c>
      <c r="B16" s="39" t="inlineStr">
        <is>
          <t>RD 2486/1998, art. 33.1.a).1.º y art. 32.2: la provisión matemática = valor actual actuarial de obligaciones futuras, descontadas al tipo de interés técnico máximo aplicable (aquí, simplificación sin mortalidad: capital diferido puro).</t>
        </is>
      </c>
      <c r="C16" s="40" t="n"/>
      <c r="D16" s="40" t="n"/>
      <c r="E16" s="40" t="n"/>
      <c r="F16" s="40" t="n"/>
    </row>
    <row r="17" ht="45" customHeight="1">
      <c r="A17" s="38" t="inlineStr">
        <is>
          <t>Hipótesis didáctica usada:</t>
        </is>
      </c>
      <c r="B17" s="41" t="inlineStr">
        <is>
          <t>Se omite la componente biométrica (probabilidad de supervivencia) por fines didácticos: se trata el capital como cierto (pago seguro), para aislar el efecto puro del tipo de interés en el descuento.</t>
        </is>
      </c>
      <c r="C17" s="40" t="n"/>
      <c r="D17" s="40" t="n"/>
      <c r="E17" s="40" t="n"/>
      <c r="F17" s="40" t="n"/>
    </row>
  </sheetData>
  <mergeCells count="5">
    <mergeCell ref="A2:F2"/>
    <mergeCell ref="B16:F16"/>
    <mergeCell ref="A1:F1"/>
    <mergeCell ref="B17:F17"/>
    <mergeCell ref="A15:F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showGridLines="0" workbookViewId="0">
      <pane ySplit="3" topLeftCell="A4"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8" customWidth="1" min="5" max="5"/>
    <col width="18" customWidth="1" min="6" max="6"/>
    <col width="14" customWidth="1" min="7" max="7"/>
  </cols>
  <sheetData>
    <row r="1" ht="26" customHeight="1">
      <c r="A1" s="1" t="inlineStr">
        <is>
          <t>📉 Sens_50_100bp — Sensibilidad de la PM a shocks de tipo</t>
        </is>
      </c>
    </row>
    <row r="2">
      <c r="A2" s="27" t="inlineStr">
        <is>
          <t>⚠ EJEMPLO HIPOTÉTICO EXCLUSIVAMENTE DIDÁCTICO. No usar como dato real de mercado ni de entidad alguna.</t>
        </is>
      </c>
    </row>
    <row r="4">
      <c r="A4" s="10" t="inlineStr">
        <is>
          <t>INPUTS</t>
        </is>
      </c>
    </row>
    <row r="5">
      <c r="A5" s="28" t="inlineStr">
        <is>
          <t>Capital (C)</t>
        </is>
      </c>
      <c r="B5" s="12" t="n">
        <v>100000</v>
      </c>
    </row>
    <row r="6">
      <c r="A6" s="28" t="inlineStr">
        <is>
          <t>Plazo (t, años)</t>
        </is>
      </c>
      <c r="B6" s="12" t="n">
        <v>10</v>
      </c>
    </row>
    <row r="7">
      <c r="A7" s="28" t="inlineStr">
        <is>
          <t>Tipo base (i0)</t>
        </is>
      </c>
      <c r="B7" s="13" t="n">
        <v>0.0195</v>
      </c>
    </row>
    <row r="9">
      <c r="A9" s="10" t="inlineStr">
        <is>
          <t>CÁLCULO: shocks ±50pb / ±100pb sobre i0</t>
        </is>
      </c>
    </row>
    <row r="10">
      <c r="A10" s="4" t="inlineStr">
        <is>
          <t>Shock (pb)</t>
        </is>
      </c>
      <c r="B10" s="4" t="inlineStr">
        <is>
          <t>i shock</t>
        </is>
      </c>
      <c r="C10" s="4" t="inlineStr">
        <is>
          <t>VA = C/(1+i)^t</t>
        </is>
      </c>
      <c r="D10" s="4" t="inlineStr">
        <is>
          <t>Δ VA vs base</t>
        </is>
      </c>
      <c r="E10" s="4" t="inlineStr">
        <is>
          <t>Δ % vs base</t>
        </is>
      </c>
      <c r="F10" s="4" t="inlineStr">
        <is>
          <t>Recalculo_Python</t>
        </is>
      </c>
      <c r="G10" s="4" t="inlineStr">
        <is>
          <t>Check</t>
        </is>
      </c>
    </row>
    <row r="11">
      <c r="A11" s="5" t="n">
        <v>-100</v>
      </c>
      <c r="B11" s="42">
        <f>$B$7+A11/10000</f>
        <v/>
      </c>
      <c r="C11" s="35">
        <f>$B$5/(1+B11)^$B$6</f>
        <v/>
      </c>
      <c r="D11" s="43">
        <f>C11-C$13</f>
        <v/>
      </c>
      <c r="E11" s="24">
        <f>D11/C$13</f>
        <v/>
      </c>
      <c r="F11" s="36" t="n">
        <v>90978.07999095709</v>
      </c>
      <c r="G11" s="31">
        <f>IF(ABS(C11-F11)&lt;0.01,"✔ OK","✘ REVISAR")</f>
        <v/>
      </c>
    </row>
    <row r="12">
      <c r="A12" s="5" t="n">
        <v>-50</v>
      </c>
      <c r="B12" s="42">
        <f>$B$7+A12/10000</f>
        <v/>
      </c>
      <c r="C12" s="35">
        <f>$B$5/(1+B12)^$B$6</f>
        <v/>
      </c>
      <c r="D12" s="43">
        <f>C12-C$13</f>
        <v/>
      </c>
      <c r="E12" s="24">
        <f>D12/C$13</f>
        <v/>
      </c>
      <c r="F12" s="36" t="n">
        <v>86592.34209124267</v>
      </c>
      <c r="G12" s="31">
        <f>IF(ABS(C12-F12)&lt;0.01,"✔ OK","✘ REVISAR")</f>
        <v/>
      </c>
    </row>
    <row r="13">
      <c r="A13" s="5" t="n">
        <v>0</v>
      </c>
      <c r="B13" s="42">
        <f>$B$7+A13/10000</f>
        <v/>
      </c>
      <c r="C13" s="35">
        <f>$B$5/(1+B13)^$B$6</f>
        <v/>
      </c>
      <c r="D13" s="43">
        <f>C13-C$13</f>
        <v/>
      </c>
      <c r="E13" s="24">
        <f>D13/C$13</f>
        <v/>
      </c>
      <c r="F13" s="36" t="n">
        <v>82438.04781440939</v>
      </c>
      <c r="G13" s="31">
        <f>IF(ABS(C13-F13)&lt;0.01,"✔ OK","✘ REVISAR")</f>
        <v/>
      </c>
    </row>
    <row r="14">
      <c r="A14" s="5" t="n">
        <v>50</v>
      </c>
      <c r="B14" s="42">
        <f>$B$7+A14/10000</f>
        <v/>
      </c>
      <c r="C14" s="35">
        <f>$B$5/(1+B14)^$B$6</f>
        <v/>
      </c>
      <c r="D14" s="43">
        <f>C14-C$13</f>
        <v/>
      </c>
      <c r="E14" s="24">
        <f>D14/C$13</f>
        <v/>
      </c>
      <c r="F14" s="36" t="n">
        <v>78501.93695107337</v>
      </c>
      <c r="G14" s="31">
        <f>IF(ABS(C14-F14)&lt;0.01,"✔ OK","✘ REVISAR")</f>
        <v/>
      </c>
    </row>
    <row r="15">
      <c r="A15" s="5" t="n">
        <v>100</v>
      </c>
      <c r="B15" s="42">
        <f>$B$7+A15/10000</f>
        <v/>
      </c>
      <c r="C15" s="35">
        <f>$B$5/(1+B15)^$B$6</f>
        <v/>
      </c>
      <c r="D15" s="43">
        <f>C15-C$13</f>
        <v/>
      </c>
      <c r="E15" s="24">
        <f>D15/C$13</f>
        <v/>
      </c>
      <c r="F15" s="36" t="n">
        <v>74771.56840088168</v>
      </c>
      <c r="G15" s="31">
        <f>IF(ABS(C15-F15)&lt;0.01,"✔ OK","✘ REVISAR")</f>
        <v/>
      </c>
    </row>
    <row r="18" ht="18" customHeight="1">
      <c r="A18" s="37" t="inlineStr">
        <is>
          <t>NORMA vs HIPÓTESIS</t>
        </is>
      </c>
      <c r="B18" s="5" t="n"/>
      <c r="C18" s="5" t="n"/>
      <c r="D18" s="5" t="n"/>
      <c r="E18" s="5" t="n"/>
      <c r="F18" s="5" t="n"/>
    </row>
    <row r="19" ht="45" customHeight="1">
      <c r="A19" s="38" t="inlineStr">
        <is>
          <t>Norma (ROSSP art.33 / conexos):</t>
        </is>
      </c>
      <c r="B19" s="39" t="inlineStr">
        <is>
          <t>Análisis ALM/riesgo de tipo de interés no regulado expresamente en un apartado único del art.33, pero derivado de su aplicación práctica: la PM es inversamente sensible al tipo técnico empleado (duración~convexidad negativa).</t>
        </is>
      </c>
      <c r="C19" s="40" t="n"/>
      <c r="D19" s="40" t="n"/>
      <c r="E19" s="40" t="n"/>
      <c r="F19" s="40" t="n"/>
    </row>
    <row r="20" ht="45" customHeight="1">
      <c r="A20" s="38" t="inlineStr">
        <is>
          <t>Hipótesis didáctica usada:</t>
        </is>
      </c>
      <c r="B20" s="41" t="inlineStr">
        <is>
          <t>Shocks simétricos de ±50 y ±100 pb aplicados sobre el tipo DGSFP vigente hipotético (1,95%), únicamente para ilustrar la sensibilidad direccional de la provisión matemática (mayor tipo → menor PM).</t>
        </is>
      </c>
      <c r="C20" s="40" t="n"/>
      <c r="D20" s="40" t="n"/>
      <c r="E20" s="40" t="n"/>
      <c r="F20" s="40" t="n"/>
    </row>
  </sheetData>
  <mergeCells count="5">
    <mergeCell ref="A1:G1"/>
    <mergeCell ref="B20:F20"/>
    <mergeCell ref="B19:F19"/>
    <mergeCell ref="A2:G2"/>
    <mergeCell ref="A18:F18"/>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4" customWidth="1" min="7" max="7"/>
  </cols>
  <sheetData>
    <row r="1" ht="26" customHeight="1">
      <c r="A1" s="1" t="inlineStr">
        <is>
          <t>🔗 SemiMatching — Art. 33.1.a).2.º ROSSP</t>
        </is>
      </c>
    </row>
    <row r="2">
      <c r="A2" s="27" t="inlineStr">
        <is>
          <t>⚠ EJEMPLO HIPOTÉTICO EXCLUSIVAMENTE DIDÁCTICO. No usar como dato real de mercado ni de entidad alguna.</t>
        </is>
      </c>
    </row>
    <row r="4">
      <c r="A4" s="10" t="inlineStr">
        <is>
          <t>INPUTS COMUNES</t>
        </is>
      </c>
    </row>
    <row r="5">
      <c r="A5" s="28" t="inlineStr">
        <is>
          <t>Capital único a pagar (prestación)</t>
        </is>
      </c>
      <c r="B5" s="12" t="n">
        <v>100000</v>
      </c>
    </row>
    <row r="6">
      <c r="A6" s="28" t="inlineStr">
        <is>
          <t>Vencimiento del pago (t_pago, años)</t>
        </is>
      </c>
      <c r="B6" s="12" t="n">
        <v>10</v>
      </c>
    </row>
    <row r="7">
      <c r="A7" s="28" t="inlineStr">
        <is>
          <t>Tipo interés de mercado (solo p/ estimar duración)</t>
        </is>
      </c>
      <c r="B7" s="13" t="n">
        <v>0.025</v>
      </c>
    </row>
    <row r="8">
      <c r="A8" s="28" t="inlineStr">
        <is>
          <t>Tipo DGSFP año ORIGEN de la póliza</t>
        </is>
      </c>
      <c r="B8" s="13" t="n">
        <v>0.0139</v>
      </c>
    </row>
    <row r="9">
      <c r="A9" s="28" t="inlineStr">
        <is>
          <t>Tipo DGSFP EN VIGOR (ejercicio actual)</t>
        </is>
      </c>
      <c r="B9" s="13" t="n">
        <v>0.0195</v>
      </c>
    </row>
    <row r="11">
      <c r="A11" s="10" t="inlineStr">
        <is>
          <t>DURACIÓN FINANCIERA DE LOS PAGOS (flujo único)</t>
        </is>
      </c>
    </row>
    <row r="12">
      <c r="A12" s="20" t="inlineStr">
        <is>
          <t>Duración pagos (para flujo único = t_pago)</t>
        </is>
      </c>
      <c r="B12" s="44">
        <f>B6</f>
        <v/>
      </c>
    </row>
    <row r="14">
      <c r="A14" s="10" t="inlineStr">
        <is>
          <t>CASO A: Duración cobros (10a) ≥ Duración pagos (10a)</t>
        </is>
      </c>
    </row>
    <row r="15">
      <c r="A15" s="28" t="inlineStr">
        <is>
          <t>Vencimiento de los activos asignados (t_cobros_A)</t>
        </is>
      </c>
      <c r="B15" s="12" t="n">
        <v>10</v>
      </c>
    </row>
    <row r="16">
      <c r="A16" s="20" t="inlineStr">
        <is>
          <t>¿Se cumple Dur_cobros ≥ Dur_pagos?</t>
        </is>
      </c>
      <c r="B16" s="44">
        <f>IF(B15&gt;=B12,"SÍ: aplica tipo DGSFP AÑO ORIGEN a todo el plazo","NO: pasa a régimen 33.1.a.1º")</f>
        <v/>
      </c>
      <c r="C16" s="45" t="n"/>
      <c r="D16" s="25" t="n"/>
    </row>
    <row r="17">
      <c r="A17" s="14" t="inlineStr">
        <is>
          <t>VA_A = C/(1+tipo_origen)^t_pago</t>
        </is>
      </c>
      <c r="B17" s="46">
        <f>B5/(1+B8)^B6</f>
        <v/>
      </c>
      <c r="D17" t="inlineStr">
        <is>
          <t>Recalculo_Python</t>
        </is>
      </c>
      <c r="E17" s="36" t="n">
        <v>87106.14010146188</v>
      </c>
      <c r="F17" s="31">
        <f>IF(ABS(B17-E17)&lt;0.01,"✔ OK","✘ REVISAR")</f>
        <v/>
      </c>
    </row>
    <row r="19">
      <c r="A19" s="10" t="inlineStr">
        <is>
          <t>CASO B: Duración cobros (6a) &lt; Duración pagos (10a) → descuento en 2 tramos</t>
        </is>
      </c>
    </row>
    <row r="20">
      <c r="A20" s="28" t="inlineStr">
        <is>
          <t>Vencimiento de los activos asignados (t_cobros_B)</t>
        </is>
      </c>
      <c r="B20" s="12" t="n">
        <v>6</v>
      </c>
    </row>
    <row r="21">
      <c r="A21" s="20" t="inlineStr">
        <is>
          <t>Tramo excedente (t_pago - t_cobros_B), al tipo VIGOR</t>
        </is>
      </c>
      <c r="B21" s="44">
        <f>B6-B20</f>
        <v/>
      </c>
    </row>
    <row r="22">
      <c r="A22" s="20" t="inlineStr">
        <is>
          <t>VA en t_cobros_B (tramo excedente): C/(1+tipo_vigor)^tramo_exc</t>
        </is>
      </c>
      <c r="B22" s="47">
        <f>B5/(1+B9)^B21</f>
        <v/>
      </c>
    </row>
    <row r="23">
      <c r="A23" s="20" t="inlineStr">
        <is>
          <t>Tramo cubierto (0 a t_cobros_B), al tipo ORIGEN</t>
        </is>
      </c>
      <c r="B23" s="44">
        <f>B20</f>
        <v/>
      </c>
    </row>
    <row r="24">
      <c r="A24" s="14" t="inlineStr">
        <is>
          <t>VA_B = VA(t_cobros_B) / (1+tipo_origen)^t_cobros_B</t>
        </is>
      </c>
      <c r="B24" s="46">
        <f>B22/(1+B8)^B23</f>
        <v/>
      </c>
      <c r="D24" t="inlineStr">
        <is>
          <t>Recalculo_Python</t>
        </is>
      </c>
      <c r="E24" s="36" t="n">
        <v>85207.99402345595</v>
      </c>
      <c r="F24" s="31">
        <f>IF(ABS(B24-E24)&lt;0.01,"✔ OK","✘ REVISAR")</f>
        <v/>
      </c>
    </row>
    <row r="26" ht="18" customHeight="1">
      <c r="A26" s="37" t="inlineStr">
        <is>
          <t>NORMA vs HIPÓTESIS</t>
        </is>
      </c>
      <c r="B26" s="5" t="n"/>
      <c r="C26" s="5" t="n"/>
      <c r="D26" s="5" t="n"/>
      <c r="E26" s="5" t="n"/>
      <c r="F26" s="5" t="n"/>
    </row>
    <row r="27" ht="45" customHeight="1">
      <c r="A27" s="38" t="inlineStr">
        <is>
          <t>Norma (ROSSP art.33 / conexos):</t>
        </is>
      </c>
      <c r="B27" s="39" t="inlineStr">
        <is>
          <t>RD 2486/1998, art. 33.1.a).2.º: si Dur.financiera cobros ≥ Dur.financiera pagos → tipo DGSFP año de efecto de póliza para todo el plazo. Si no se cumple, el periodo que EXCEDE la duración de activos se descuenta al tipo del art.33.1.a).1.º (tipo DGSFP en vigor), y el resto al tipo de origen.</t>
        </is>
      </c>
      <c r="C27" s="40" t="n"/>
      <c r="D27" s="40" t="n"/>
      <c r="E27" s="40" t="n"/>
      <c r="F27" s="40" t="n"/>
    </row>
    <row r="28" ht="45" customHeight="1">
      <c r="A28" s="38" t="inlineStr">
        <is>
          <t>Hipótesis didáctica usada:</t>
        </is>
      </c>
      <c r="B28" s="41" t="inlineStr">
        <is>
          <t>Duraciones estimadas de forma simplificada asumiendo flujo único (pago/cobro bullet), sin biometría ni primas periódicas, para aislar didácticamente el mecanismo de comparación de duraciones y el descuento en dos tramos.</t>
        </is>
      </c>
      <c r="C28" s="40" t="n"/>
      <c r="D28" s="40" t="n"/>
      <c r="E28" s="40" t="n"/>
      <c r="F28" s="40" t="n"/>
    </row>
  </sheetData>
  <mergeCells count="6">
    <mergeCell ref="A1:G1"/>
    <mergeCell ref="B28:F28"/>
    <mergeCell ref="A2:G2"/>
    <mergeCell ref="A26:F26"/>
    <mergeCell ref="B27:F27"/>
    <mergeCell ref="B16:D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s>
  <sheetData>
    <row r="1" ht="26" customHeight="1">
      <c r="A1" s="1" t="inlineStr">
        <is>
          <t>💱 NoEuro — Art. 33.1.b) Seguros en moneda distinta del euro</t>
        </is>
      </c>
    </row>
    <row r="2">
      <c r="A2" s="27" t="inlineStr">
        <is>
          <t>⚠ EJEMPLO HIPOTÉTICO EXCLUSIVAMENTE DIDÁCTICO. No usar como dato real de mercado ni de entidad alguna.</t>
        </is>
      </c>
    </row>
    <row r="4">
      <c r="A4" s="10" t="inlineStr">
        <is>
          <t>INPUTS (hipotéticos, moneda ilustrativa: USD)</t>
        </is>
      </c>
    </row>
    <row r="5">
      <c r="A5" s="28" t="inlineStr">
        <is>
          <t>Bonos/oblig. Estado (USD), media últ. trim.</t>
        </is>
      </c>
      <c r="B5" s="13" t="n">
        <v>0.042</v>
      </c>
    </row>
    <row r="6">
      <c r="A6" s="28" t="inlineStr">
        <is>
          <t>Tipo DGSFP publicado ejercicio anterior (referencia)</t>
        </is>
      </c>
      <c r="B6" s="13" t="n">
        <v>0.025</v>
      </c>
    </row>
    <row r="7">
      <c r="A7" s="28" t="inlineStr">
        <is>
          <t>Curva euroswap 11a a 31-dic ejerc. anterior (referencia normativa)</t>
        </is>
      </c>
      <c r="B7" s="13" t="n">
        <v>0.025</v>
      </c>
    </row>
    <row r="8">
      <c r="A8" s="28" t="inlineStr">
        <is>
          <t>Bonos/oblig. Estado (USD) a 20+ años, media últ. trim.</t>
        </is>
      </c>
      <c r="B8" s="13" t="n">
        <v>0.048</v>
      </c>
    </row>
    <row r="10">
      <c r="A10" s="10" t="inlineStr">
        <is>
          <t>CÁLCULO — analogía estructural al art.33.1.a).1.º</t>
        </is>
      </c>
    </row>
    <row r="11">
      <c r="A11" s="20" t="inlineStr">
        <is>
          <t>Paso 1: 60% bonos medio trim.</t>
        </is>
      </c>
      <c r="B11" s="29">
        <f>0.6*B5</f>
        <v/>
      </c>
    </row>
    <row r="12">
      <c r="A12" s="20" t="inlineStr">
        <is>
          <t>Paso 2: Ajuste 50%×(DGSFP año ant. − curva ref. 11a)</t>
        </is>
      </c>
      <c r="B12" s="29">
        <f>0.5*(B6-B7)</f>
        <v/>
      </c>
    </row>
    <row r="13">
      <c r="A13" s="20" t="inlineStr">
        <is>
          <t>Paso 3: Tipo resultante</t>
        </is>
      </c>
      <c r="B13" s="29">
        <f>B11+B12</f>
        <v/>
      </c>
    </row>
    <row r="14">
      <c r="A14" s="20" t="inlineStr">
        <is>
          <t>Paso 4: Tope = 60% bonos 20+ años</t>
        </is>
      </c>
      <c r="B14" s="29">
        <f>0.6*B8</f>
        <v/>
      </c>
    </row>
    <row r="16">
      <c r="A16" s="10" t="inlineStr">
        <is>
          <t>RESULTADO</t>
        </is>
      </c>
    </row>
    <row r="17">
      <c r="A17" s="14" t="inlineStr">
        <is>
          <t>Tipo máximo (moneda distinta del euro)</t>
        </is>
      </c>
      <c r="B17" s="15">
        <f>MIN(B13,B14)</f>
        <v/>
      </c>
      <c r="D17" t="inlineStr">
        <is>
          <t>Recalculo_Python</t>
        </is>
      </c>
      <c r="E17" s="16" t="n">
        <v>0.0252</v>
      </c>
      <c r="F17" s="31">
        <f>IF(ABS(B17-E17)&lt;0.000001,"✔ OK","✘ REVISAR")</f>
        <v/>
      </c>
    </row>
    <row r="20" ht="18" customHeight="1">
      <c r="A20" s="37" t="inlineStr">
        <is>
          <t>NORMA vs HIPÓTESIS</t>
        </is>
      </c>
      <c r="B20" s="5" t="n"/>
      <c r="C20" s="5" t="n"/>
      <c r="D20" s="5" t="n"/>
      <c r="E20" s="5" t="n"/>
      <c r="F20" s="5" t="n"/>
    </row>
    <row r="21" ht="45" customHeight="1">
      <c r="A21" s="38" t="inlineStr">
        <is>
          <t>Norma (ROSSP art.33 / conexos):</t>
        </is>
      </c>
      <c r="B21" s="39" t="inlineStr">
        <is>
          <t>RD 2486/1998, art. 33.1.b).1.º y 2.º: para seguros en moneda distinta del euro, se aplican criterios análogos a los del apartado a), sustituyendo bonos del Estado español por los del Estado de la moneda correspondiente; la referencia a la curva euroswap se mantiene según redacción literal del ROSSP.</t>
        </is>
      </c>
      <c r="C21" s="40" t="n"/>
      <c r="D21" s="40" t="n"/>
      <c r="E21" s="40" t="n"/>
      <c r="F21" s="40" t="n"/>
    </row>
    <row r="22" ht="45" customHeight="1">
      <c r="A22" s="38" t="inlineStr">
        <is>
          <t>Hipótesis didáctica usada:</t>
        </is>
      </c>
      <c r="B22" s="41" t="inlineStr">
        <is>
          <t>Todos los tipos de mercado en USD son HIPOTÉTICOS. El artículo no aclara si la curva de referencia para el ajuste debe ser también en la moneda extranjera; aquí se ha mantenido la referencia genérica del apartado a) como hipótesis simplificadora, sin que ello constituya criterio normativo confirmado.</t>
        </is>
      </c>
      <c r="C22" s="40" t="n"/>
      <c r="D22" s="40" t="n"/>
      <c r="E22" s="40" t="n"/>
      <c r="F22" s="40" t="n"/>
    </row>
  </sheetData>
  <mergeCells count="5">
    <mergeCell ref="B21:F21"/>
    <mergeCell ref="A2:F2"/>
    <mergeCell ref="A1:F1"/>
    <mergeCell ref="B22:F22"/>
    <mergeCell ref="A20:F2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8" customWidth="1" min="6" max="6"/>
    <col width="14" customWidth="1" min="7" max="7"/>
  </cols>
  <sheetData>
    <row r="1" ht="26" customHeight="1">
      <c r="A1" s="1" t="inlineStr">
        <is>
          <t>📅 Garantia_1y — Art. 33.1.c) Tipo garantizado ≤ 1 año</t>
        </is>
      </c>
    </row>
    <row r="2">
      <c r="A2" s="27" t="inlineStr">
        <is>
          <t>⚠ EJEMPLO HIPOTÉTICO EXCLUSIVAMENTE DIDÁCTICO. No usar como dato real de mercado ni de entidad alguna.</t>
        </is>
      </c>
    </row>
    <row r="4">
      <c r="A4" s="10" t="inlineStr">
        <is>
          <t>INPUTS</t>
        </is>
      </c>
    </row>
    <row r="5">
      <c r="A5" s="28" t="inlineStr">
        <is>
          <t>Capital a pagar en t=5</t>
        </is>
      </c>
      <c r="B5" s="12" t="n">
        <v>50000</v>
      </c>
    </row>
    <row r="7">
      <c r="A7" s="10" t="inlineStr">
        <is>
          <t>Tipos garantizados fijados anualmente (por periodo ≤ 1 año)</t>
        </is>
      </c>
    </row>
    <row r="8">
      <c r="A8" s="4" t="inlineStr">
        <is>
          <t>Año (periodo)</t>
        </is>
      </c>
      <c r="B8" s="4" t="inlineStr">
        <is>
          <t>Tipo garantizado</t>
        </is>
      </c>
      <c r="C8" s="4" t="inlineStr">
        <is>
          <t>Factor (1+i)^-1</t>
        </is>
      </c>
      <c r="D8" s="4" t="inlineStr">
        <is>
          <t>Recalculo_Python i</t>
        </is>
      </c>
    </row>
    <row r="9">
      <c r="A9" s="5" t="n">
        <v>1</v>
      </c>
      <c r="B9" s="13" t="n">
        <v>0.015</v>
      </c>
      <c r="C9" s="48">
        <f>1/(1+B9)</f>
        <v/>
      </c>
      <c r="D9" s="49" t="n">
        <v>0.015</v>
      </c>
    </row>
    <row r="10">
      <c r="A10" s="5" t="n">
        <v>2</v>
      </c>
      <c r="B10" s="13" t="n">
        <v>0.018</v>
      </c>
      <c r="C10" s="48">
        <f>1/(1+B10)</f>
        <v/>
      </c>
      <c r="D10" s="49" t="n">
        <v>0.018</v>
      </c>
    </row>
    <row r="11">
      <c r="A11" s="5" t="n">
        <v>3</v>
      </c>
      <c r="B11" s="13" t="n">
        <v>0.02</v>
      </c>
      <c r="C11" s="48">
        <f>1/(1+B11)</f>
        <v/>
      </c>
      <c r="D11" s="49" t="n">
        <v>0.02</v>
      </c>
    </row>
    <row r="12">
      <c r="A12" s="5" t="n">
        <v>4</v>
      </c>
      <c r="B12" s="13" t="n">
        <v>0.017</v>
      </c>
      <c r="C12" s="48">
        <f>1/(1+B12)</f>
        <v/>
      </c>
      <c r="D12" s="49" t="n">
        <v>0.017</v>
      </c>
    </row>
    <row r="13">
      <c r="A13" s="5" t="n">
        <v>5</v>
      </c>
      <c r="B13" s="13" t="n">
        <v>0.016</v>
      </c>
      <c r="C13" s="48">
        <f>1/(1+B13)</f>
        <v/>
      </c>
      <c r="D13" s="49" t="n">
        <v>0.016</v>
      </c>
    </row>
    <row r="15">
      <c r="A15" s="10" t="inlineStr">
        <is>
          <t>CÁLCULO: VA = C × Π(1+i_k)^-1 para cada periodo k (descuento encadenado)</t>
        </is>
      </c>
    </row>
    <row r="16">
      <c r="A16" s="20" t="inlineStr">
        <is>
          <t>Producto de factores de descuento anuales</t>
        </is>
      </c>
      <c r="B16" s="48">
        <f>PRODUCT(C9:C13)</f>
        <v/>
      </c>
    </row>
    <row r="18">
      <c r="A18" s="10" t="inlineStr">
        <is>
          <t>RESULTADO</t>
        </is>
      </c>
    </row>
    <row r="19">
      <c r="A19" s="14" t="inlineStr">
        <is>
          <t>VA = Capital × Producto factores</t>
        </is>
      </c>
      <c r="B19" s="46">
        <f>B5*B16</f>
        <v/>
      </c>
      <c r="D19" t="inlineStr">
        <is>
          <t>Recalculo_Python</t>
        </is>
      </c>
      <c r="E19" s="36" t="n">
        <v>45913.60054230641</v>
      </c>
      <c r="F19" s="31">
        <f>IF(ABS(B19-E19)&lt;0.01,"✔ OK","✘ REVISAR")</f>
        <v/>
      </c>
    </row>
    <row r="22" ht="18" customHeight="1">
      <c r="A22" s="37" t="inlineStr">
        <is>
          <t>NORMA vs HIPÓTESIS</t>
        </is>
      </c>
      <c r="B22" s="5" t="n"/>
      <c r="C22" s="5" t="n"/>
      <c r="D22" s="5" t="n"/>
      <c r="E22" s="5" t="n"/>
      <c r="F22" s="5" t="n"/>
    </row>
    <row r="23" ht="45" customHeight="1">
      <c r="A23" s="38" t="inlineStr">
        <is>
          <t>Norma (ROSSP art.33 / conexos):</t>
        </is>
      </c>
      <c r="B23" s="39" t="inlineStr">
        <is>
          <t>RD 2486/1998, art. 33.1.c): cuando el tipo garantizado se fija por periodos NO superiores al año, se aplica el tipo garantizado vigente en cada periodo (descuento encadenado año a año, no un único tipo constante).</t>
        </is>
      </c>
      <c r="C23" s="40" t="n"/>
      <c r="D23" s="40" t="n"/>
      <c r="E23" s="40" t="n"/>
      <c r="F23" s="40" t="n"/>
    </row>
    <row r="24" ht="45" customHeight="1">
      <c r="A24" s="38" t="inlineStr">
        <is>
          <t>Hipótesis didáctica usada:</t>
        </is>
      </c>
      <c r="B24" s="41" t="inlineStr">
        <is>
          <t>Se simula una garantía renovada anualmente con tipos distintos cada año (1,5%/1,8%/2,0%/1,7%/1,6%), a modo de ejemplo de cómo el descuento NO es geométrico con un tipo único, sino un producto de factores anuales distintos.</t>
        </is>
      </c>
      <c r="C24" s="40" t="n"/>
      <c r="D24" s="40" t="n"/>
      <c r="E24" s="40" t="n"/>
      <c r="F24" s="40" t="n"/>
    </row>
  </sheetData>
  <mergeCells count="5">
    <mergeCell ref="A1:G1"/>
    <mergeCell ref="B24:F24"/>
    <mergeCell ref="A22:F22"/>
    <mergeCell ref="A2:G2"/>
    <mergeCell ref="B23:F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8" customWidth="1" min="5" max="5"/>
    <col width="18" customWidth="1" min="6" max="6"/>
    <col width="14" customWidth="1" min="7" max="7"/>
  </cols>
  <sheetData>
    <row r="1" ht="26" customHeight="1">
      <c r="A1" s="1" t="inlineStr">
        <is>
          <t>🎯 CF_Matching — Art. 33.2.A) Cash-Flow Matching</t>
        </is>
      </c>
    </row>
    <row r="2">
      <c r="A2" s="27" t="inlineStr">
        <is>
          <t>⚠ EJEMPLO HIPOTÉTICO EXCLUSIVAMENTE DIDÁCTICO. No usar como dato real de mercado ni de entidad alguna.</t>
        </is>
      </c>
    </row>
    <row r="4">
      <c r="A4" s="10" t="inlineStr">
        <is>
          <t>INPUTS: Flujos del PASIVO (prestaciones) y precio de mercado de ACTIVOS asignados</t>
        </is>
      </c>
    </row>
    <row r="5">
      <c r="A5" s="4" t="inlineStr">
        <is>
          <t>Año (t)</t>
        </is>
      </c>
      <c r="B5" s="4" t="inlineStr">
        <is>
          <t>Flujo pasivo</t>
        </is>
      </c>
      <c r="C5" s="4" t="inlineStr">
        <is>
          <t>-</t>
        </is>
      </c>
    </row>
    <row r="6">
      <c r="A6" s="5" t="n">
        <v>1</v>
      </c>
      <c r="B6" s="50" t="n">
        <v>10000</v>
      </c>
    </row>
    <row r="7">
      <c r="A7" s="5" t="n">
        <v>2</v>
      </c>
      <c r="B7" s="50" t="n">
        <v>10000</v>
      </c>
    </row>
    <row r="8">
      <c r="A8" s="5" t="n">
        <v>3</v>
      </c>
      <c r="B8" s="50" t="n">
        <v>10000</v>
      </c>
    </row>
    <row r="9">
      <c r="A9" s="5" t="n">
        <v>4</v>
      </c>
      <c r="B9" s="50" t="n">
        <v>10000</v>
      </c>
    </row>
    <row r="10">
      <c r="A10" s="5" t="n">
        <v>5</v>
      </c>
      <c r="B10" s="50" t="n">
        <v>60000</v>
      </c>
    </row>
    <row r="12">
      <c r="A12" s="28" t="inlineStr">
        <is>
          <t>Precio de mercado HOY de los activos asignados</t>
        </is>
      </c>
      <c r="B12" s="51" t="n">
        <v>95000</v>
      </c>
    </row>
    <row r="14">
      <c r="A14" s="10" t="inlineStr">
        <is>
          <t>CÁLCULO: TIR de la cartera de activos (=tipo interés técnico aplicable)</t>
        </is>
      </c>
    </row>
    <row r="15">
      <c r="A15" s="20" t="inlineStr">
        <is>
          <t>TIR cartera (IRR): -Precio + Σ Flujos_t</t>
        </is>
      </c>
      <c r="B15" s="15">
        <f>IRR(B18:G18)</f>
        <v/>
      </c>
      <c r="D15" t="inlineStr">
        <is>
          <t>Recalculo_Python (numpy_financial.irr)</t>
        </is>
      </c>
      <c r="E15" s="16" t="n">
        <v>0.01294807580527757</v>
      </c>
      <c r="F15" s="31">
        <f>IF(ABS(B15-E15)&lt;0.0001,"✔ OK","✘ REVISAR")</f>
        <v/>
      </c>
    </row>
    <row r="16">
      <c r="A16" s="30" t="inlineStr">
        <is>
          <t>Serie CF p/IRR (t=0 a t=5)</t>
        </is>
      </c>
    </row>
    <row r="17">
      <c r="A17" s="33" t="n">
        <v>0</v>
      </c>
      <c r="B17" s="33" t="n">
        <v>1</v>
      </c>
      <c r="C17" s="33" t="n">
        <v>2</v>
      </c>
      <c r="D17" s="33" t="n">
        <v>3</v>
      </c>
      <c r="E17" s="33" t="n">
        <v>4</v>
      </c>
      <c r="F17" s="33" t="n">
        <v>5</v>
      </c>
    </row>
    <row r="18">
      <c r="A18" s="52" t="n">
        <v>-95000</v>
      </c>
      <c r="B18" s="52" t="n">
        <v>10000</v>
      </c>
      <c r="C18" s="52" t="n">
        <v>10000</v>
      </c>
      <c r="D18" s="52" t="n">
        <v>10000</v>
      </c>
      <c r="E18" s="52" t="n">
        <v>10000</v>
      </c>
      <c r="F18" s="52" t="n">
        <v>60000</v>
      </c>
    </row>
    <row r="20">
      <c r="A20" s="10" t="inlineStr">
        <is>
          <t>CHECK DE INMUNIZACIÓN: VA(pasivo, TIR) debe = Precio activos</t>
        </is>
      </c>
    </row>
    <row r="21">
      <c r="A21" s="20" t="inlineStr">
        <is>
          <t>VA pasivo descontado a TIR cartera</t>
        </is>
      </c>
      <c r="B21" s="47">
        <f>SUMPRODUCT($B$6:$B$10,1/(1+$B$15)^$A$6:$A$10)</f>
        <v/>
      </c>
    </row>
    <row r="22">
      <c r="A22" s="20" t="inlineStr">
        <is>
          <t>¿Coincide con Precio activos? (matching exacto)</t>
        </is>
      </c>
      <c r="B22" s="31">
        <f>IF(ABS(B21-B12)&lt;1,"✔ OK — Inmunización exacta","✘ REVISAR")</f>
        <v/>
      </c>
    </row>
    <row r="24" ht="18" customHeight="1">
      <c r="A24" s="37" t="inlineStr">
        <is>
          <t>NORMA vs HIPÓTESIS</t>
        </is>
      </c>
      <c r="B24" s="5" t="n"/>
      <c r="C24" s="5" t="n"/>
      <c r="D24" s="5" t="n"/>
      <c r="E24" s="5" t="n"/>
      <c r="F24" s="5" t="n"/>
    </row>
    <row r="25" ht="45" customHeight="1">
      <c r="A25" s="38" t="inlineStr">
        <is>
          <t>Norma (ROSSP art.33 / conexos):</t>
        </is>
      </c>
      <c r="B25" s="39" t="inlineStr">
        <is>
          <t>RD 2486/1998, art. 33.2: tipo de interés = TIR de las inversiones específicamente asignadas, siempre que exista 'coincidencia suficiente en tiempo y cuantía' de los flujos de cobro con las obligaciones (cash-flow matching), cumpliendo márgenes/requisitos de desarrollo (Orden Ministerial) y verificación periódica (trimestral).</t>
        </is>
      </c>
      <c r="C25" s="40" t="n"/>
      <c r="D25" s="40" t="n"/>
      <c r="E25" s="40" t="n"/>
      <c r="F25" s="40" t="n"/>
    </row>
    <row r="26" ht="45" customHeight="1">
      <c r="A26" s="38" t="inlineStr">
        <is>
          <t>Hipótesis didáctica usada:</t>
        </is>
      </c>
      <c r="B26" s="41" t="inlineStr">
        <is>
          <t>Cartera de activos hipotética cuyo precio de mercado hoy (95.000) genera, junto a los flujos del pasivo (10.000 x4 años + 60.000 año 5), una TIR que por construcción reconcilia exactamente VA(pasivo,TIR)=Precio activos, ilustrando el caso IDEAL de cash-flow matching perfecto.</t>
        </is>
      </c>
      <c r="C26" s="40" t="n"/>
      <c r="D26" s="40" t="n"/>
      <c r="E26" s="40" t="n"/>
      <c r="F26" s="40" t="n"/>
    </row>
  </sheetData>
  <mergeCells count="5">
    <mergeCell ref="A24:F24"/>
    <mergeCell ref="A1:G1"/>
    <mergeCell ref="B25:F25"/>
    <mergeCell ref="A2:G2"/>
    <mergeCell ref="B26:F2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36" customWidth="1" min="1" max="1"/>
    <col width="16" customWidth="1" min="2" max="2"/>
    <col width="16" customWidth="1" min="3" max="3"/>
    <col width="16" customWidth="1" min="4" max="4"/>
    <col width="18" customWidth="1" min="5" max="5"/>
    <col width="18" customWidth="1" min="6" max="6"/>
    <col width="14" customWidth="1" min="7" max="7"/>
  </cols>
  <sheetData>
    <row r="1" ht="26" customHeight="1">
      <c r="A1" s="1" t="inlineStr">
        <is>
          <t>📏 Dur_Matching — Art. 33.2.B) Duration Matching</t>
        </is>
      </c>
    </row>
    <row r="2">
      <c r="A2" s="27" t="inlineStr">
        <is>
          <t>⚠ EJEMPLO HIPOTÉTICO EXCLUSIVAMENTE DIDÁCTICO. No usar como dato real de mercado ni de entidad alguna.</t>
        </is>
      </c>
    </row>
    <row r="4">
      <c r="A4" s="10" t="inlineStr">
        <is>
          <t>INPUTS: Flujos del PASIVO y tipo de descuento (mercado)</t>
        </is>
      </c>
    </row>
    <row r="5">
      <c r="A5" s="28" t="inlineStr">
        <is>
          <t>Tipo de interés de mercado (i)</t>
        </is>
      </c>
      <c r="B5" s="13" t="n">
        <v>0.025</v>
      </c>
    </row>
    <row r="7">
      <c r="A7" s="4" t="inlineStr">
        <is>
          <t>Año (t)</t>
        </is>
      </c>
      <c r="B7" s="4" t="inlineStr">
        <is>
          <t>Flujo pasivo</t>
        </is>
      </c>
      <c r="C7" s="4" t="inlineStr">
        <is>
          <t>VA_t = CF/(1+i)^t</t>
        </is>
      </c>
      <c r="D7" s="4" t="inlineStr">
        <is>
          <t>t × VA_t</t>
        </is>
      </c>
    </row>
    <row r="8">
      <c r="A8" s="5" t="n">
        <v>3</v>
      </c>
      <c r="B8" s="50" t="n">
        <v>20000</v>
      </c>
      <c r="C8" s="47">
        <f>B8/(1+$B$5)^A8</f>
        <v/>
      </c>
      <c r="D8" s="47">
        <f>A8*C8</f>
        <v/>
      </c>
    </row>
    <row r="9">
      <c r="A9" s="5" t="n">
        <v>5</v>
      </c>
      <c r="B9" s="50" t="n">
        <v>30000</v>
      </c>
      <c r="C9" s="47">
        <f>B9/(1+$B$5)^A9</f>
        <v/>
      </c>
      <c r="D9" s="47">
        <f>A9*C9</f>
        <v/>
      </c>
    </row>
    <row r="10">
      <c r="A10" s="5" t="n">
        <v>8</v>
      </c>
      <c r="B10" s="50" t="n">
        <v>50000</v>
      </c>
      <c r="C10" s="47">
        <f>B10/(1+$B$5)^A10</f>
        <v/>
      </c>
      <c r="D10" s="47">
        <f>A10*C10</f>
        <v/>
      </c>
    </row>
    <row r="12">
      <c r="A12" s="10" t="inlineStr">
        <is>
          <t>CÁLCULO: Duración Macaulay, Modificada y VA pasivo</t>
        </is>
      </c>
    </row>
    <row r="13">
      <c r="A13" s="20" t="inlineStr">
        <is>
          <t>VA pasivo total (Σ VA_t)</t>
        </is>
      </c>
      <c r="B13" s="47">
        <f>SUM(C8:C10)</f>
        <v/>
      </c>
    </row>
    <row r="14">
      <c r="A14" s="20" t="inlineStr">
        <is>
          <t>Duración Macaulay = Σ(t×VA_t) / Σ VA_t</t>
        </is>
      </c>
      <c r="B14" s="53">
        <f>SUM(D8:D10)/B13</f>
        <v/>
      </c>
    </row>
    <row r="15">
      <c r="A15" s="20" t="inlineStr">
        <is>
          <t>Duración Modificada = Dur.Macaulay / (1+i)</t>
        </is>
      </c>
      <c r="B15" s="54">
        <f>B14/(1+$B$5)</f>
        <v/>
      </c>
      <c r="D15" t="inlineStr">
        <is>
          <t>Recalculo_Python</t>
        </is>
      </c>
      <c r="E15" s="55" t="n">
        <v>5.851880788115108</v>
      </c>
      <c r="F15" s="31">
        <f>IF(ABS(B15-E15)&lt;0.0001,"✔ OK","✘ REVISAR")</f>
        <v/>
      </c>
    </row>
    <row r="17">
      <c r="A17" s="10" t="inlineStr">
        <is>
          <t>ACTIVO REPLICANTE (bono cupón cero equivalente en duración modificada)</t>
        </is>
      </c>
    </row>
    <row r="18">
      <c r="A18" s="20" t="inlineStr">
        <is>
          <t>Vencimiento T tal que Dur.Mod(cupón cero)=Dur.Mod(pasivo): T=DurMod×(1+i)</t>
        </is>
      </c>
      <c r="B18" s="53">
        <f>B15*(1+$B$5)</f>
        <v/>
      </c>
    </row>
    <row r="19">
      <c r="A19" s="14" t="inlineStr">
        <is>
          <t>VA activo a asignar (regla art.33.2.b: VA activos ≥ VA pasivo)</t>
        </is>
      </c>
      <c r="B19" s="46">
        <f>B13</f>
        <v/>
      </c>
    </row>
    <row r="21" ht="18" customHeight="1">
      <c r="A21" s="37" t="inlineStr">
        <is>
          <t>NORMA vs HIPÓTESIS</t>
        </is>
      </c>
      <c r="B21" s="5" t="n"/>
      <c r="C21" s="5" t="n"/>
      <c r="D21" s="5" t="n"/>
      <c r="E21" s="5" t="n"/>
      <c r="F21" s="5" t="n"/>
    </row>
    <row r="22" ht="45" customHeight="1">
      <c r="A22" s="38" t="inlineStr">
        <is>
          <t>Norma (ROSSP art.33 / conexos):</t>
        </is>
      </c>
      <c r="B22" s="39" t="inlineStr">
        <is>
          <t>RD 2486/1998, art. 33.2.b) y desarrollo (Orden Ministerial 2007 y normativa DGSFP): la relación entre valores actuales de inversión y obligación, y los riesgos inherentes (incl. rescate), deben mantenerse dentro de márgenes; el enfoque de 'duration matching' iguala duración modificada activo-pasivo para inmunizar frente a variaciones paralelas del tipo de interés.</t>
        </is>
      </c>
      <c r="C22" s="40" t="n"/>
      <c r="D22" s="40" t="n"/>
      <c r="E22" s="40" t="n"/>
      <c r="F22" s="40" t="n"/>
    </row>
    <row r="23" ht="45" customHeight="1">
      <c r="A23" s="38" t="inlineStr">
        <is>
          <t>Hipótesis didáctica usada:</t>
        </is>
      </c>
      <c r="B23" s="41" t="inlineStr">
        <is>
          <t>Pasivo con 3 flujos (t=3,5,8) descontado a tipo de mercado hipotético 2,5%; se determina el vencimiento de un bono cupón cero teórico que replica exactamente la duración modificada del pasivo, como ilustración simplificada de inmunización (en la práctica se usa una cartera diversificada, no un único bono).</t>
        </is>
      </c>
      <c r="C23" s="40" t="n"/>
      <c r="D23" s="40" t="n"/>
      <c r="E23" s="40" t="n"/>
      <c r="F23" s="40" t="n"/>
    </row>
  </sheetData>
  <mergeCells count="5">
    <mergeCell ref="A1:G1"/>
    <mergeCell ref="A2:G2"/>
    <mergeCell ref="B23:F23"/>
    <mergeCell ref="B22:F22"/>
    <mergeCell ref="A21:F2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9"/>
  <sheetViews>
    <sheetView showGridLines="0" workbookViewId="0">
      <pane ySplit="3" topLeftCell="A4" activePane="bottomLeft" state="frozen"/>
      <selection pane="bottomLeft"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4" customWidth="1" min="7" max="7"/>
  </cols>
  <sheetData>
    <row r="1" ht="26" customHeight="1">
      <c r="A1" s="1" t="inlineStr">
        <is>
          <t>📉 Rentabilidad_Real — Último párrafo Art.33.1 / DT 2ª</t>
        </is>
      </c>
    </row>
    <row r="2">
      <c r="A2" s="27" t="inlineStr">
        <is>
          <t>⚠ EJEMPLO HIPOTÉTICO EXCLUSIVAMENTE DIDÁCTICO. No usar como dato real de mercado ni de entidad alguna.</t>
        </is>
      </c>
    </row>
    <row r="4">
      <c r="A4" s="10" t="inlineStr">
        <is>
          <t>INPUTS</t>
        </is>
      </c>
    </row>
    <row r="5">
      <c r="A5" s="28" t="inlineStr">
        <is>
          <t>Tipo interés técnico medio (operaciones sin asignación específica)</t>
        </is>
      </c>
      <c r="B5" s="13" t="n">
        <v>0.045</v>
      </c>
    </row>
    <row r="6">
      <c r="A6" s="28" t="inlineStr">
        <is>
          <t>Rentabilidad real obtenida (inversiones asignadas)</t>
        </is>
      </c>
      <c r="B6" s="13" t="n">
        <v>0.038</v>
      </c>
    </row>
    <row r="7">
      <c r="A7" s="28" t="inlineStr">
        <is>
          <t>Capital (C)</t>
        </is>
      </c>
      <c r="B7" s="12" t="n">
        <v>200000</v>
      </c>
    </row>
    <row r="8">
      <c r="A8" s="28" t="inlineStr">
        <is>
          <t>Plazo (t, años)</t>
        </is>
      </c>
      <c r="B8" s="12" t="n">
        <v>12</v>
      </c>
    </row>
    <row r="10">
      <c r="A10" s="10" t="inlineStr">
        <is>
          <t>CÁLCULO</t>
        </is>
      </c>
    </row>
    <row r="11">
      <c r="A11" s="20" t="inlineStr">
        <is>
          <t>¿Rentabilidad real &lt; Tipo técnico medio?</t>
        </is>
      </c>
      <c r="B11" s="44">
        <f>IF(B6&lt;B5,"SÍ → aplica rentabilidad real","NO → se mantiene tipo técnico medio")</f>
        <v/>
      </c>
      <c r="C11" s="45" t="n"/>
      <c r="D11" s="25" t="n"/>
    </row>
    <row r="12">
      <c r="A12" s="20" t="inlineStr">
        <is>
          <t>Tipo aplicable a la provisión</t>
        </is>
      </c>
      <c r="B12" s="56">
        <f>IF(B6&lt;B5,B6,B5)</f>
        <v/>
      </c>
    </row>
    <row r="13">
      <c r="A13" s="20" t="inlineStr">
        <is>
          <t>VA con tipo técnico medio (contrafactual)</t>
        </is>
      </c>
      <c r="B13" s="47">
        <f>B7/(1+B5)^B8</f>
        <v/>
      </c>
    </row>
    <row r="14">
      <c r="A14" s="14" t="inlineStr">
        <is>
          <t>VA con rentabilidad real (aplicable)</t>
        </is>
      </c>
      <c r="B14" s="46">
        <f>B7/(1+B6)^B8</f>
        <v/>
      </c>
    </row>
    <row r="15">
      <c r="A15" s="14" t="inlineStr">
        <is>
          <t>Dotación adicional necesaria (VA_real − VA_técnico)</t>
        </is>
      </c>
      <c r="B15" s="46">
        <f>B14-B13</f>
        <v/>
      </c>
      <c r="D15" t="inlineStr">
        <is>
          <t>Recalculo_Python (dotación)</t>
        </is>
      </c>
      <c r="E15" s="36" t="n">
        <v>9905.752734060821</v>
      </c>
      <c r="F15" s="31">
        <f>IF(ABS(B15-E15)&lt;0.01,"✔ OK","✘ REVISAR")</f>
        <v/>
      </c>
    </row>
    <row r="17" ht="18" customHeight="1">
      <c r="A17" s="37" t="inlineStr">
        <is>
          <t>NORMA vs HIPÓTESIS</t>
        </is>
      </c>
      <c r="B17" s="5" t="n"/>
      <c r="C17" s="5" t="n"/>
      <c r="D17" s="5" t="n"/>
      <c r="E17" s="5" t="n"/>
      <c r="F17" s="5" t="n"/>
    </row>
    <row r="18" ht="45" customHeight="1">
      <c r="A18" s="38" t="inlineStr">
        <is>
          <t>Norma (ROSSP art.33 / conexos):</t>
        </is>
      </c>
      <c r="B18" s="39" t="inlineStr">
        <is>
          <t>RD 2486/1998, art. 33.1 último párrafo (y su aplicación combinada con la Disposición Transitoria 2.ª para compromisos anteriores): si la rentabilidad real obtenida en el ejercicio por las inversiones específicamente asignadas es inferior al tipo de interés técnico medio de operaciones SIN asignación, debe dotarse la provisión aplicando la rentabilidad realmente obtenida (salvo acreditación previa ante DGSFP de suficiencia futura).</t>
        </is>
      </c>
      <c r="C18" s="40" t="n"/>
      <c r="D18" s="40" t="n"/>
      <c r="E18" s="40" t="n"/>
      <c r="F18" s="40" t="n"/>
    </row>
    <row r="19" ht="45" customHeight="1">
      <c r="A19" s="38" t="inlineStr">
        <is>
          <t>Hipótesis didáctica usada:</t>
        </is>
      </c>
      <c r="B19" s="41" t="inlineStr">
        <is>
          <t>Tipo técnico medio 4,5% (típico de cartera antigua con tipos garantizados elevados) vs. rentabilidad real 3,8% obtenida en un ejercicio de tipos de mercado bajos: la caída de rentabilidad obliga a una dotación adicional relevante en la provisión.</t>
        </is>
      </c>
      <c r="C19" s="40" t="n"/>
      <c r="D19" s="40" t="n"/>
      <c r="E19" s="40" t="n"/>
      <c r="F19" s="40" t="n"/>
    </row>
  </sheetData>
  <mergeCells count="6">
    <mergeCell ref="B11:D11"/>
    <mergeCell ref="A1:G1"/>
    <mergeCell ref="B19:F19"/>
    <mergeCell ref="A2:G2"/>
    <mergeCell ref="A17:F17"/>
    <mergeCell ref="B18:F1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8"/>
  <sheetViews>
    <sheetView showGridLines="0" workbookViewId="0">
      <pane ySplit="3" topLeftCell="A4" activePane="bottomLeft" state="frozen"/>
      <selection pane="bottomLeft" activeCell="A1" sqref="A1"/>
    </sheetView>
  </sheetViews>
  <sheetFormatPr baseColWidth="8" defaultRowHeight="15"/>
  <cols>
    <col width="46" customWidth="1" min="1" max="1"/>
    <col width="18" customWidth="1" min="2" max="2"/>
    <col width="18" customWidth="1" min="3" max="3"/>
    <col width="18" customWidth="1" min="4" max="4"/>
    <col width="18" customWidth="1" min="5" max="5"/>
    <col width="18" customWidth="1" min="6" max="6"/>
    <col width="14" customWidth="1" min="7" max="7"/>
  </cols>
  <sheetData>
    <row r="1" ht="26" customHeight="1">
      <c r="A1" s="1" t="inlineStr">
        <is>
          <t>🏛️ Pre1999 — Disposición Transitoria 2.ª ROSSP</t>
        </is>
      </c>
    </row>
    <row r="2">
      <c r="A2" s="27" t="inlineStr">
        <is>
          <t>⚠ EJEMPLO HIPOTÉTICO EXCLUSIVAMENTE DIDÁCTICO. No usar como dato real de mercado ni de entidad alguna.</t>
        </is>
      </c>
    </row>
    <row r="4">
      <c r="A4" s="10" t="inlineStr">
        <is>
          <t>INPUTS</t>
        </is>
      </c>
    </row>
    <row r="5">
      <c r="A5" s="28" t="inlineStr">
        <is>
          <t>Tipo de interés usado para el cálculo de la PRIMA (compromiso pre-1999)</t>
        </is>
      </c>
      <c r="B5" s="13" t="n">
        <v>0.06</v>
      </c>
    </row>
    <row r="6">
      <c r="A6" s="28" t="inlineStr">
        <is>
          <t>Tipo máximo art.33.1 vigente en 1998/1999 (ilustrativo)</t>
        </is>
      </c>
      <c r="B6" s="13" t="n">
        <v>0.06</v>
      </c>
    </row>
    <row r="7">
      <c r="A7" s="28" t="inlineStr">
        <is>
          <t>Capital (C)</t>
        </is>
      </c>
      <c r="B7" s="12" t="n">
        <v>80000</v>
      </c>
    </row>
    <row r="8">
      <c r="A8" s="28" t="inlineStr">
        <is>
          <t>Plazo (t, años)</t>
        </is>
      </c>
      <c r="B8" s="12" t="n">
        <v>15</v>
      </c>
    </row>
    <row r="10">
      <c r="A10" s="10" t="inlineStr">
        <is>
          <t>CÁLCULO — DT 2.ª ROSSP</t>
        </is>
      </c>
    </row>
    <row r="11">
      <c r="A11" s="20" t="inlineStr">
        <is>
          <t>Regla: se mantiene el tipo técnico de la PRIMA (no el art.33.1 vigente)</t>
        </is>
      </c>
      <c r="B11" s="56">
        <f>B5</f>
        <v/>
      </c>
    </row>
    <row r="12">
      <c r="A12" s="20" t="inlineStr">
        <is>
          <t>¿Tipo de la prima supera el límite art.33.1 (1998)?</t>
        </is>
      </c>
      <c r="B12" s="44">
        <f>IF(B5&gt;B6,"SÍ → obliga a asignar inversiones (DT2ª.1)","NO → sin obligación de asignación")</f>
        <v/>
      </c>
      <c r="C12" s="45" t="n"/>
      <c r="D12" s="25" t="n"/>
    </row>
    <row r="13">
      <c r="A13" s="14" t="inlineStr">
        <is>
          <t>VA = C/(1+tipo_prima)^t</t>
        </is>
      </c>
      <c r="B13" s="46">
        <f>B7/(1+B5)^B8</f>
        <v/>
      </c>
      <c r="D13" t="inlineStr">
        <is>
          <t>Recalculo_Python</t>
        </is>
      </c>
      <c r="E13" s="36" t="n">
        <v>33381.20485884324</v>
      </c>
      <c r="F13" s="31">
        <f>IF(ABS(B13-E13)&lt;0.01,"✔ OK","✘ REVISAR")</f>
        <v/>
      </c>
    </row>
    <row r="16" ht="18" customHeight="1">
      <c r="A16" s="37" t="inlineStr">
        <is>
          <t>NORMA vs HIPÓTESIS</t>
        </is>
      </c>
      <c r="B16" s="5" t="n"/>
      <c r="C16" s="5" t="n"/>
      <c r="D16" s="5" t="n"/>
      <c r="E16" s="5" t="n"/>
      <c r="F16" s="5" t="n"/>
    </row>
    <row r="17" ht="45" customHeight="1">
      <c r="A17" s="38" t="inlineStr">
        <is>
          <t>Norma (ROSSP art.33 / conexos):</t>
        </is>
      </c>
      <c r="B17" s="39" t="inlineStr">
        <is>
          <t>Disposición Transitoria 2.ª ROSSP (RD 2486/1998): para compromisos asumidos ANTES de la entrada en vigor del Reglamento, se continúa utilizando el mismo tipo de interés técnico que sirvió de base para el cálculo de la prima. Si dicho tipo supera los límites del art.33.1, la entidad DEBE asignar inversiones específicas a esos contratos, manteniendo el criterio de asignación salvo autorización expresa.</t>
        </is>
      </c>
      <c r="C17" s="40" t="n"/>
      <c r="D17" s="40" t="n"/>
      <c r="E17" s="40" t="n"/>
      <c r="F17" s="40" t="n"/>
    </row>
    <row r="18" ht="45" customHeight="1">
      <c r="A18" s="38" t="inlineStr">
        <is>
          <t>Hipótesis didáctica usada:</t>
        </is>
      </c>
      <c r="B18" s="41" t="inlineStr">
        <is>
          <t>Póliza hipotética emitida en los años 90 con tipo garantizado del 6% (habitual en esa época), superior al límite ilustrativo del art.33.1 en 1998 (6,0% en este ejemplo simplificado, por lo que NO se activa la obligación de asignación en el ejemplo; en la práctica real de 1998 el límite era netamente inferior al 6%, por lo que la mayoría de estas pólizas SÍ requirió asignación de activos).</t>
        </is>
      </c>
      <c r="C18" s="40" t="n"/>
      <c r="D18" s="40" t="n"/>
      <c r="E18" s="40" t="n"/>
      <c r="F18" s="40" t="n"/>
    </row>
  </sheetData>
  <mergeCells count="6">
    <mergeCell ref="A16:F16"/>
    <mergeCell ref="A1:G1"/>
    <mergeCell ref="A2:G2"/>
    <mergeCell ref="B12:D12"/>
    <mergeCell ref="B17:F17"/>
    <mergeCell ref="B18:F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
  <sheetViews>
    <sheetView showGridLines="0" workbookViewId="0">
      <pane ySplit="3" topLeftCell="A4" activePane="bottomLeft" state="frozen"/>
      <selection pane="bottomLeft" activeCell="A1" sqref="A1"/>
    </sheetView>
  </sheetViews>
  <sheetFormatPr baseColWidth="8" defaultRowHeight="15"/>
  <cols>
    <col width="46" customWidth="1" min="1" max="1"/>
    <col width="18" customWidth="1" min="2" max="2"/>
    <col width="18" customWidth="1" min="3" max="3"/>
    <col width="18" customWidth="1" min="4" max="4"/>
    <col width="18" customWidth="1" min="5" max="5"/>
    <col width="18" customWidth="1" min="6" max="6"/>
    <col width="14" customWidth="1" min="7" max="7"/>
  </cols>
  <sheetData>
    <row r="1" ht="26" customHeight="1">
      <c r="A1" s="1" t="inlineStr">
        <is>
          <t>📜 Pre2016 — Contratos anteriores a 1-1-2016 (DA 5.ª RD 1060/2015)</t>
        </is>
      </c>
    </row>
    <row r="2">
      <c r="A2" s="27" t="inlineStr">
        <is>
          <t>⚠ EJEMPLO HIPOTÉTICO EXCLUSIVAMENTE DIDÁCTICO. No usar como dato real de mercado ni de entidad alguna.</t>
        </is>
      </c>
    </row>
    <row r="4">
      <c r="A4" s="10" t="inlineStr">
        <is>
          <t>INPUTS</t>
        </is>
      </c>
    </row>
    <row r="5">
      <c r="A5" s="28" t="inlineStr">
        <is>
          <t>Tipo art.33.1 ROSSP vigente en el ejercicio (ref. DGSFP)</t>
        </is>
      </c>
      <c r="B5" s="13" t="n">
        <v>0.0195</v>
      </c>
    </row>
    <row r="6">
      <c r="A6" s="28" t="inlineStr">
        <is>
          <t>Capital (C)</t>
        </is>
      </c>
      <c r="B6" s="12" t="n">
        <v>150000</v>
      </c>
    </row>
    <row r="7">
      <c r="A7" s="28" t="inlineStr">
        <is>
          <t>Plazo (t, años)</t>
        </is>
      </c>
      <c r="B7" s="12" t="n">
        <v>10</v>
      </c>
    </row>
    <row r="9">
      <c r="A9" s="10" t="inlineStr">
        <is>
          <t>CÁLCULO — Régimen general (sin adaptación a ETTI libre de riesgo)</t>
        </is>
      </c>
    </row>
    <row r="10">
      <c r="A10" s="14" t="inlineStr">
        <is>
          <t>VA = C/(1+tipo_art33)^t</t>
        </is>
      </c>
      <c r="B10" s="46">
        <f>B6/(1+B5)^B7</f>
        <v/>
      </c>
      <c r="D10" t="inlineStr">
        <is>
          <t>Recalculo_Python</t>
        </is>
      </c>
      <c r="E10" s="36" t="n">
        <v>123657.0717216141</v>
      </c>
      <c r="F10" s="31">
        <f>IF(ABS(B10-E10)&lt;0.01,"✔ OK","✘ REVISAR")</f>
        <v/>
      </c>
    </row>
    <row r="12" ht="18" customHeight="1">
      <c r="A12" s="37" t="inlineStr">
        <is>
          <t>NORMA vs HIPÓTESIS</t>
        </is>
      </c>
      <c r="B12" s="5" t="n"/>
      <c r="C12" s="5" t="n"/>
      <c r="D12" s="5" t="n"/>
      <c r="E12" s="5" t="n"/>
      <c r="F12" s="5" t="n"/>
    </row>
    <row r="13" ht="45" customHeight="1">
      <c r="A13" s="38" t="inlineStr">
        <is>
          <t>Norma (ROSSP art.33 / conexos):</t>
        </is>
      </c>
      <c r="B13" s="39" t="inlineStr">
        <is>
          <t>RD 1060/2015, Disposición Adicional 5.ª, apartado 2: para contratos de seguro de vida celebrados ANTES del 1-1-2016, las entidades aplican el art.33 ROSSP (RD 2486/1998), sin perjuicio de la opción de adaptación a la estructura temporal de tipos de interés sin riesgo (art.54 RD1060/2015, con ajuste por volatilidad del art.57 si procede) para los contratos que usen el art.33.1.a).1.º y 1.b).1.º del ROSSP. El plazo de adaptación es de un máximo de 10 años desde el 31-12-2015, mediante dotaciones adicionales lineales.</t>
        </is>
      </c>
      <c r="C13" s="40" t="n"/>
      <c r="D13" s="40" t="n"/>
      <c r="E13" s="40" t="n"/>
      <c r="F13" s="40" t="n"/>
    </row>
    <row r="14" ht="45" customHeight="1">
      <c r="A14" s="38" t="inlineStr">
        <is>
          <t>Hipótesis didáctica usada:</t>
        </is>
      </c>
      <c r="B14" s="41" t="inlineStr">
        <is>
          <t>Cartera hipotética anterior a 2016 que NO ha ejercido la opción de adaptación a ETTI libre de riesgo: continúa aplicando el tipo DGSFP art.33.1 vigente en cada ejercicio (1,95% en 2026, dato real BOE-A-2026-1226).</t>
        </is>
      </c>
      <c r="C14" s="40" t="n"/>
      <c r="D14" s="40" t="n"/>
      <c r="E14" s="40" t="n"/>
      <c r="F14" s="40" t="n"/>
    </row>
  </sheetData>
  <mergeCells count="5">
    <mergeCell ref="A1:G1"/>
    <mergeCell ref="A2:G2"/>
    <mergeCell ref="A12:F12"/>
    <mergeCell ref="B14:F14"/>
    <mergeCell ref="B13:F1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8"/>
  <sheetViews>
    <sheetView showGridLines="0" workbookViewId="0">
      <pane ySplit="3" topLeftCell="A4" activePane="bottomLeft" state="frozen"/>
      <selection pane="bottomLeft" activeCell="A1" sqref="A1"/>
    </sheetView>
  </sheetViews>
  <sheetFormatPr baseColWidth="8" defaultRowHeight="15"/>
  <cols>
    <col width="46" customWidth="1" min="1" max="1"/>
    <col width="18" customWidth="1" min="2" max="2"/>
    <col width="18" customWidth="1" min="3" max="3"/>
    <col width="18" customWidth="1" min="4" max="4"/>
    <col width="18" customWidth="1" min="5" max="5"/>
    <col width="18" customWidth="1" min="6" max="6"/>
    <col width="14" customWidth="1" min="7" max="7"/>
  </cols>
  <sheetData>
    <row r="1" ht="26" customHeight="1">
      <c r="A1" s="1" t="inlineStr">
        <is>
          <t>🆕 Post2016 — Nueva producción desde 2016 (ETTI libre de riesgo)</t>
        </is>
      </c>
    </row>
    <row r="2">
      <c r="A2" s="27" t="inlineStr">
        <is>
          <t>⚠ EJEMPLO HIPOTÉTICO EXCLUSIVAMENTE DIDÁCTICO. No usar como dato real de mercado ni de entidad alguna.</t>
        </is>
      </c>
    </row>
    <row r="4">
      <c r="A4" s="10" t="inlineStr">
        <is>
          <t>INPUTS</t>
        </is>
      </c>
    </row>
    <row r="5">
      <c r="A5" s="28" t="inlineStr">
        <is>
          <t>Spot rate ETTI libre de riesgo EIOPA, plazo t (SIN VA)</t>
        </is>
      </c>
      <c r="B5" s="13" t="n">
        <v>0.025</v>
      </c>
    </row>
    <row r="6">
      <c r="A6" s="28" t="inlineStr">
        <is>
          <t>Ajuste por volatilidad (Volatility Adjustment, VA)</t>
        </is>
      </c>
      <c r="B6" s="13" t="n">
        <v>0.0015</v>
      </c>
    </row>
    <row r="7">
      <c r="A7" s="28" t="inlineStr">
        <is>
          <t>Tipo garantizado del compromiso (póliza)</t>
        </is>
      </c>
      <c r="B7" s="13" t="n">
        <v>0.02</v>
      </c>
    </row>
    <row r="8">
      <c r="A8" s="28" t="inlineStr">
        <is>
          <t>Capital (C)</t>
        </is>
      </c>
      <c r="B8" s="12" t="n">
        <v>150000</v>
      </c>
    </row>
    <row r="9">
      <c r="A9" s="28" t="inlineStr">
        <is>
          <t>Plazo (t, años)</t>
        </is>
      </c>
      <c r="B9" s="12" t="n">
        <v>10</v>
      </c>
    </row>
    <row r="11">
      <c r="A11" s="10" t="inlineStr">
        <is>
          <t>CÁLCULO</t>
        </is>
      </c>
    </row>
    <row r="12">
      <c r="A12" s="20" t="inlineStr">
        <is>
          <t>Spot rate CON ajuste por volatilidad</t>
        </is>
      </c>
      <c r="B12" s="56">
        <f>B5+B6</f>
        <v/>
      </c>
    </row>
    <row r="13">
      <c r="A13" s="20" t="inlineStr">
        <is>
          <t>Tipo máximo aplicable = MIN(spot+VA, tipo garantizado)</t>
        </is>
      </c>
      <c r="B13" s="56">
        <f>MIN(B12,B7)</f>
        <v/>
      </c>
    </row>
    <row r="14">
      <c r="A14" s="14" t="inlineStr">
        <is>
          <t>VA (Provisión) = C/(1+tipo_max)^t</t>
        </is>
      </c>
      <c r="B14" s="46">
        <f>B8/(1+B13)^B9</f>
        <v/>
      </c>
      <c r="D14" t="inlineStr">
        <is>
          <t>Recalculo_Python</t>
        </is>
      </c>
      <c r="E14" s="36" t="n">
        <v>123052.2449812733</v>
      </c>
      <c r="F14" s="31">
        <f>IF(ABS(B14-E14)&lt;0.01,"✔ OK","✘ REVISAR")</f>
        <v/>
      </c>
    </row>
    <row r="16" ht="18" customHeight="1">
      <c r="A16" s="37" t="inlineStr">
        <is>
          <t>NORMA vs HIPÓTESIS</t>
        </is>
      </c>
      <c r="B16" s="5" t="n"/>
      <c r="C16" s="5" t="n"/>
      <c r="D16" s="5" t="n"/>
      <c r="E16" s="5" t="n"/>
      <c r="F16" s="5" t="n"/>
    </row>
    <row r="17" ht="45" customHeight="1">
      <c r="A17" s="38" t="inlineStr">
        <is>
          <t>Norma (ROSSP art.33 / conexos):</t>
        </is>
      </c>
      <c r="B17" s="39" t="inlineStr">
        <is>
          <t>Para la NUEVA producción (contratos desde 1-1-2016), el art.33 ROSSP YA NO es la referencia contable directa: se aplica un tope resultante de la Estructura Temporal de Tipos de Interés (ETTI) libre de riesgo EIOPA (con el ajuste por volatilidad del art.57 RD1060/2015 si la entidad lo usa en Solvencia II), comparado con el tipo garantizado del compromiso, aplicándose el MENOR de ambos (criterio de prudencia formativo — DGSFP).</t>
        </is>
      </c>
      <c r="C17" s="40" t="n"/>
      <c r="D17" s="40" t="n"/>
      <c r="E17" s="40" t="n"/>
      <c r="F17" s="40" t="n"/>
    </row>
    <row r="18" ht="45" customHeight="1">
      <c r="A18" s="38" t="inlineStr">
        <is>
          <t>Hipótesis didáctica usada:</t>
        </is>
      </c>
      <c r="B18" s="41" t="inlineStr">
        <is>
          <t>ETTI hipotética por interpolación lineal simplificada entre nodos 1/2/3/5/10/20 años. El VA (Volatility Adjustment) de 0,15% es ilustrativo; los valores reales de la curva EIOPA se publican mensualmente y deben verificarse en la fuente oficial EIOPA para cualquier cálculo contable real.</t>
        </is>
      </c>
      <c r="C18" s="40" t="n"/>
      <c r="D18" s="40" t="n"/>
      <c r="E18" s="40" t="n"/>
      <c r="F18" s="40" t="n"/>
    </row>
  </sheetData>
  <mergeCells count="5">
    <mergeCell ref="A16:F16"/>
    <mergeCell ref="A1:G1"/>
    <mergeCell ref="A2:G2"/>
    <mergeCell ref="B17:F17"/>
    <mergeCell ref="B18:F1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showGridLines="0" workbookViewId="0">
      <pane ySplit="3" topLeftCell="A4" activePane="bottomLeft" state="frozen"/>
      <selection pane="bottomLeft" activeCell="A1" sqref="A1"/>
    </sheetView>
  </sheetViews>
  <sheetFormatPr baseColWidth="8" defaultRowHeight="15"/>
  <cols>
    <col width="46" customWidth="1" min="1" max="1"/>
    <col width="18" customWidth="1" min="2" max="2"/>
    <col width="18" customWidth="1" min="3" max="3"/>
    <col width="18" customWidth="1" min="4" max="4"/>
    <col width="18" customWidth="1" min="5" max="5"/>
    <col width="18" customWidth="1" min="6" max="6"/>
    <col width="14" customWidth="1" min="7" max="7"/>
  </cols>
  <sheetData>
    <row r="1" ht="26" customHeight="1">
      <c r="A1" s="1" t="inlineStr">
        <is>
          <t>💹 PB — Art. 33.3 Participación en beneficios</t>
        </is>
      </c>
    </row>
    <row r="2">
      <c r="A2" s="27" t="inlineStr">
        <is>
          <t>⚠ EJEMPLO HIPOTÉTICO EXCLUSIVAMENTE DIDÁCTICO. No usar como dato real de mercado ni de entidad alguna.</t>
        </is>
      </c>
    </row>
    <row r="4">
      <c r="A4" s="10" t="inlineStr">
        <is>
          <t>INPUTS</t>
        </is>
      </c>
    </row>
    <row r="5">
      <c r="A5" s="28" t="inlineStr">
        <is>
          <t>Tipo usado en el cálculo de la PRIMA</t>
        </is>
      </c>
      <c r="B5" s="13" t="n">
        <v>0.02</v>
      </c>
    </row>
    <row r="6">
      <c r="A6" s="28" t="inlineStr">
        <is>
          <t>Capital (C)</t>
        </is>
      </c>
      <c r="B6" s="12" t="n">
        <v>120000</v>
      </c>
    </row>
    <row r="7">
      <c r="A7" s="28" t="inlineStr">
        <is>
          <t>Plazo (t, años)</t>
        </is>
      </c>
      <c r="B7" s="12" t="n">
        <v>8</v>
      </c>
    </row>
    <row r="9">
      <c r="A9" s="10" t="inlineStr">
        <is>
          <t>CÁLCULO — tope: tipo provisión ≤ tipo usado para la prima</t>
        </is>
      </c>
    </row>
    <row r="10">
      <c r="A10" s="20" t="inlineStr">
        <is>
          <t>Tipo máximo aplicable a la provisión (=tipo prima, por regla 33.3)</t>
        </is>
      </c>
      <c r="B10" s="56">
        <f>B5</f>
        <v/>
      </c>
    </row>
    <row r="11">
      <c r="A11" s="14" t="inlineStr">
        <is>
          <t>VA = C/(1+tipo_aplicable)^t</t>
        </is>
      </c>
      <c r="B11" s="46">
        <f>B6/(1+B10)^B7</f>
        <v/>
      </c>
      <c r="D11" t="inlineStr">
        <is>
          <t>Recalculo_Python</t>
        </is>
      </c>
      <c r="E11" s="36" t="n">
        <v>102418.8445428134</v>
      </c>
      <c r="F11" s="31">
        <f>IF(ABS(B11-E11)&lt;0.01,"✔ OK","✘ REVISAR")</f>
        <v/>
      </c>
    </row>
    <row r="13" ht="18" customHeight="1">
      <c r="A13" s="37" t="inlineStr">
        <is>
          <t>NORMA vs HIPÓTESIS</t>
        </is>
      </c>
      <c r="B13" s="5" t="n"/>
      <c r="C13" s="5" t="n"/>
      <c r="D13" s="5" t="n"/>
      <c r="E13" s="5" t="n"/>
      <c r="F13" s="5" t="n"/>
    </row>
    <row r="14" ht="45" customHeight="1">
      <c r="A14" s="38" t="inlineStr">
        <is>
          <t>Norma (ROSSP art.33 / conexos):</t>
        </is>
      </c>
      <c r="B14" s="39" t="inlineStr">
        <is>
          <t>RD 2486/1998, art. 33.3: en seguros CON participación en beneficios, y en aquéllos cuya provisión se determine según el art.33.2.b) (TIR de inversiones asignadas), la provisión de seguros de vida NO podrá calcularse a un tipo de interés SUPERIOR al utilizado para el cálculo de la prima (tope autoimpuesto por coherencia técnica).</t>
        </is>
      </c>
      <c r="C14" s="40" t="n"/>
      <c r="D14" s="40" t="n"/>
      <c r="E14" s="40" t="n"/>
      <c r="F14" s="40" t="n"/>
    </row>
    <row r="15" ht="45" customHeight="1">
      <c r="A15" s="38" t="inlineStr">
        <is>
          <t>Hipótesis didáctica usada:</t>
        </is>
      </c>
      <c r="B15" s="41" t="inlineStr">
        <is>
          <t>Póliza con PB cuya prima se calculó a un tipo del 2,0%: aunque el tipo DGSFP en vigor fuese superior, el art.33.3 impide usar un tipo mayor al de la prima para la provisión — se aplica el 2,0% como tope, sin comparación con el tipo DGSFP vigente (regla independiente de éste).</t>
        </is>
      </c>
      <c r="C15" s="40" t="n"/>
      <c r="D15" s="40" t="n"/>
      <c r="E15" s="40" t="n"/>
      <c r="F15" s="40" t="n"/>
    </row>
  </sheetData>
  <mergeCells count="5">
    <mergeCell ref="A1:G1"/>
    <mergeCell ref="A13:F13"/>
    <mergeCell ref="B15:F15"/>
    <mergeCell ref="A2:G2"/>
    <mergeCell ref="B14:F1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9"/>
  <sheetViews>
    <sheetView showGridLines="0" workbookViewId="0">
      <pane ySplit="3" topLeftCell="A4" activePane="bottomLeft" state="frozen"/>
      <selection pane="bottomLeft" activeCell="A1" sqref="A1"/>
    </sheetView>
  </sheetViews>
  <sheetFormatPr baseColWidth="8" defaultRowHeight="15"/>
  <cols>
    <col width="46" customWidth="1" min="1" max="1"/>
    <col width="18" customWidth="1" min="2" max="2"/>
    <col width="18" customWidth="1" min="3" max="3"/>
    <col width="18" customWidth="1" min="4" max="4"/>
    <col width="18" customWidth="1" min="5" max="5"/>
    <col width="18" customWidth="1" min="6" max="6"/>
    <col width="14" customWidth="1" min="7" max="7"/>
  </cols>
  <sheetData>
    <row r="1" ht="26" customHeight="1">
      <c r="A1" s="1" t="inlineStr">
        <is>
          <t>⚠️ Fallback_33_4 — Art. 33.4 Reversión al régimen general</t>
        </is>
      </c>
    </row>
    <row r="2">
      <c r="A2" s="27" t="inlineStr">
        <is>
          <t>⚠ EJEMPLO HIPOTÉTICO EXCLUSIVAMENTE DIDÁCTICO. No usar como dato real de mercado ni de entidad alguna.</t>
        </is>
      </c>
    </row>
    <row r="4">
      <c r="A4" s="10" t="inlineStr">
        <is>
          <t>INPUTS</t>
        </is>
      </c>
    </row>
    <row r="5">
      <c r="A5" s="28" t="inlineStr">
        <is>
          <t>Tipo pretendido bajo art.33.2 (TIR cartera asignada)</t>
        </is>
      </c>
      <c r="B5" s="13" t="n">
        <v>0.035</v>
      </c>
    </row>
    <row r="6">
      <c r="A6" s="28" t="inlineStr">
        <is>
          <t>Tipo máximo art.33.1 en vigor (fallback)</t>
        </is>
      </c>
      <c r="B6" s="13" t="n">
        <v>0.0195</v>
      </c>
    </row>
    <row r="7">
      <c r="A7" s="28" t="inlineStr">
        <is>
          <t>¿Se incumplieron los requisitos del art.33.2? (2 trim. consecutivos)</t>
        </is>
      </c>
      <c r="B7" s="12" t="inlineStr">
        <is>
          <t>SÍ</t>
        </is>
      </c>
    </row>
    <row r="8">
      <c r="A8" s="28" t="inlineStr">
        <is>
          <t>Capital (C)</t>
        </is>
      </c>
      <c r="B8" s="12" t="n">
        <v>90000</v>
      </c>
    </row>
    <row r="9">
      <c r="A9" s="28" t="inlineStr">
        <is>
          <t>Plazo (t, años)</t>
        </is>
      </c>
      <c r="B9" s="12" t="n">
        <v>7</v>
      </c>
    </row>
    <row r="11">
      <c r="A11" s="10" t="inlineStr">
        <is>
          <t>CÁLCULO</t>
        </is>
      </c>
    </row>
    <row r="12">
      <c r="A12" s="20" t="inlineStr">
        <is>
          <t>Tipo aplicable (si incumple → art.33.1; si no → art.33.2)</t>
        </is>
      </c>
      <c r="B12" s="56">
        <f>IF(B7="SÍ",B6,B5)</f>
        <v/>
      </c>
    </row>
    <row r="13">
      <c r="A13" s="20" t="inlineStr">
        <is>
          <t>VA pretendida bajo 33.2 (contrafactual)</t>
        </is>
      </c>
      <c r="B13" s="47">
        <f>B8/(1+B5)^B9</f>
        <v/>
      </c>
    </row>
    <row r="14">
      <c r="A14" s="14" t="inlineStr">
        <is>
          <t>VA final aplicable (según regla de reversión)</t>
        </is>
      </c>
      <c r="B14" s="46">
        <f>B8/(1+B12)^B9</f>
        <v/>
      </c>
    </row>
    <row r="15">
      <c r="A15" s="14" t="inlineStr">
        <is>
          <t>Impacto dotación adicional (VA_final − VA_pretendida)</t>
        </is>
      </c>
      <c r="B15" s="46">
        <f>B14-B13</f>
        <v/>
      </c>
      <c r="D15" t="inlineStr">
        <is>
          <t>Recalculo_Python</t>
        </is>
      </c>
      <c r="E15" s="36" t="n">
        <v>7880.607012631051</v>
      </c>
      <c r="F15" s="31">
        <f>IF(ABS(B15-E15)&lt;0.01,"✔ OK","✘ REVISAR")</f>
        <v/>
      </c>
    </row>
    <row r="17" ht="18" customHeight="1">
      <c r="A17" s="37" t="inlineStr">
        <is>
          <t>NORMA vs HIPÓTESIS</t>
        </is>
      </c>
      <c r="B17" s="5" t="n"/>
      <c r="C17" s="5" t="n"/>
      <c r="D17" s="5" t="n"/>
      <c r="E17" s="5" t="n"/>
      <c r="F17" s="5" t="n"/>
    </row>
    <row r="18" ht="45" customHeight="1">
      <c r="A18" s="38" t="inlineStr">
        <is>
          <t>Norma (ROSSP art.33 / conexos):</t>
        </is>
      </c>
      <c r="B18" s="39" t="inlineStr">
        <is>
          <t>RD 2486/1998, art. 33.4: si se incumplen los requisitos que permiten aplicar el art.33.2 (cash-flow matching o duration matching, verificados trimestralmente conforme a la Orden Ministerial de desarrollo de 2007), el tipo de interés técnico a utilizar en el cálculo de la provisión de seguros de vida será el establecido en el apartado 1 del art.33 (régimen general DGSFP), lo que habitualmente implica una dotación adicional relevante.</t>
        </is>
      </c>
      <c r="C18" s="40" t="n"/>
      <c r="D18" s="40" t="n"/>
      <c r="E18" s="40" t="n"/>
      <c r="F18" s="40" t="n"/>
    </row>
    <row r="19" ht="45" customHeight="1">
      <c r="A19" s="38" t="inlineStr">
        <is>
          <t>Hipótesis didáctica usada:</t>
        </is>
      </c>
      <c r="B19" s="41" t="inlineStr">
        <is>
          <t>Se pretendía aplicar un tipo del 3,5% (TIR de una cartera que dejó de cumplir el margen exigido durante 2 trimestres consecutivos); al incumplirse el requisito, se revierte obligatoriamente al tipo DGSFP en vigor (1,95%), generando un salto significativo en la dotación de la provisión.</t>
        </is>
      </c>
      <c r="C19" s="40" t="n"/>
      <c r="D19" s="40" t="n"/>
      <c r="E19" s="40" t="n"/>
      <c r="F19" s="40" t="n"/>
    </row>
  </sheetData>
  <mergeCells count="5">
    <mergeCell ref="A1:G1"/>
    <mergeCell ref="B19:F19"/>
    <mergeCell ref="A2:G2"/>
    <mergeCell ref="A17:F17"/>
    <mergeCell ref="B18:F18"/>
  </mergeCells>
  <dataValidations count="1">
    <dataValidation sqref="B7" showDropDown="0" showInputMessage="0" showErrorMessage="0" allowBlank="0" type="list">
      <formula1>"SÍ,NO"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2026-09-30T20:06:07Z</dcterms:created>
  <dcterms:modified xmlns:dcterms="http://purl.org/dc/terms/" xmlns:xsi="http://www.w3.org/2001/XMLSchema-instance" xsi:type="dcterms:W3CDTF">2026-09-30T20:11:13Z</dcterms:modified>
</cp:coreProperties>
</file>