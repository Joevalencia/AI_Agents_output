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Indice" sheetId="1" state="visible" r:id="rId1"/>
    <sheet xmlns:r="http://schemas.openxmlformats.org/officeDocument/2006/relationships" name="01_Inputs_Globales" sheetId="2" state="visible" r:id="rId2"/>
    <sheet xmlns:r="http://schemas.openxmlformats.org/officeDocument/2006/relationships" name="VA_5_10_20" sheetId="3" state="visible" r:id="rId3"/>
    <sheet xmlns:r="http://schemas.openxmlformats.org/officeDocument/2006/relationships" name="Sens_50_100bp" sheetId="4" state="visible" r:id="rId4"/>
    <sheet xmlns:r="http://schemas.openxmlformats.org/officeDocument/2006/relationships" name="Tipo_DGS" sheetId="5" state="visible" r:id="rId5"/>
    <sheet xmlns:r="http://schemas.openxmlformats.org/officeDocument/2006/relationships" name="SemiMatching" sheetId="6" state="visible" r:id="rId6"/>
    <sheet xmlns:r="http://schemas.openxmlformats.org/officeDocument/2006/relationships" name="NoEuro" sheetId="7" state="visible" r:id="rId7"/>
    <sheet xmlns:r="http://schemas.openxmlformats.org/officeDocument/2006/relationships" name="Garantia_1y" sheetId="8" state="visible" r:id="rId8"/>
    <sheet xmlns:r="http://schemas.openxmlformats.org/officeDocument/2006/relationships" name="CF_Matching" sheetId="9" state="visible" r:id="rId9"/>
    <sheet xmlns:r="http://schemas.openxmlformats.org/officeDocument/2006/relationships" name="Dur_Matching" sheetId="10" state="visible" r:id="rId10"/>
    <sheet xmlns:r="http://schemas.openxmlformats.org/officeDocument/2006/relationships" name="Rentabilidad_Real" sheetId="11" state="visible" r:id="rId11"/>
    <sheet xmlns:r="http://schemas.openxmlformats.org/officeDocument/2006/relationships" name="Pre1999" sheetId="12" state="visible" r:id="rId12"/>
    <sheet xmlns:r="http://schemas.openxmlformats.org/officeDocument/2006/relationships" name="Pre2016" sheetId="13" state="visible" r:id="rId13"/>
    <sheet xmlns:r="http://schemas.openxmlformats.org/officeDocument/2006/relationships" name="Post2016" sheetId="14" state="visible" r:id="rId14"/>
    <sheet xmlns:r="http://schemas.openxmlformats.org/officeDocument/2006/relationships" name="PB" sheetId="15" state="visible" r:id="rId15"/>
    <sheet xmlns:r="http://schemas.openxmlformats.org/officeDocument/2006/relationships" name="Fallback_33_4" sheetId="16" state="visible" r:id="rId16"/>
    <sheet xmlns:r="http://schemas.openxmlformats.org/officeDocument/2006/relationships" name="DA5_Dotacion" sheetId="17" state="visible" r:id="rId17"/>
  </sheets>
  <definedNames/>
  <calcPr calcId="124519" fullCalcOnLoad="1"/>
</workbook>
</file>

<file path=xl/styles.xml><?xml version="1.0" encoding="utf-8"?>
<styleSheet xmlns="http://schemas.openxmlformats.org/spreadsheetml/2006/main">
  <numFmts count="4">
    <numFmt numFmtId="164" formatCode="0.0000%"/>
    <numFmt numFmtId="165" formatCode="#,##0.00&quot; €&quot;"/>
    <numFmt numFmtId="166" formatCode="0&quot; pb&quot;"/>
    <numFmt numFmtId="167" formatCode="0.000000%"/>
  </numFmts>
  <fonts count="10">
    <font>
      <name val="Calibri"/>
      <family val="2"/>
      <color theme="1"/>
      <sz val="11"/>
      <scheme val="minor"/>
    </font>
    <font>
      <b val="1"/>
      <color rgb="00FFFFFF"/>
      <sz val="12"/>
    </font>
    <font>
      <b val="1"/>
      <sz val="10"/>
    </font>
    <font>
      <sz val="10"/>
    </font>
    <font>
      <i val="1"/>
      <color rgb="005B6B7C"/>
      <sz val="9"/>
    </font>
    <font>
      <b val="1"/>
      <color rgb="000D4F8B"/>
      <sz val="10.5"/>
    </font>
    <font>
      <b val="1"/>
      <color rgb="00FFFFFF"/>
    </font>
    <font>
      <color rgb="000563C1"/>
      <sz val="10"/>
      <u val="single"/>
    </font>
    <font>
      <b val="1"/>
      <color rgb="000A7A5F"/>
      <sz val="12"/>
    </font>
    <font>
      <i val="1"/>
      <color rgb="005B6B7C"/>
      <sz val="8.5"/>
    </font>
  </fonts>
  <fills count="9">
    <fill>
      <patternFill/>
    </fill>
    <fill>
      <patternFill patternType="gray125"/>
    </fill>
    <fill>
      <patternFill patternType="solid">
        <fgColor rgb="000D4F8B"/>
      </patternFill>
    </fill>
    <fill>
      <patternFill patternType="solid">
        <fgColor rgb="00FDECC8"/>
      </patternFill>
    </fill>
    <fill>
      <patternFill patternType="solid">
        <fgColor rgb="00D7E4F3"/>
      </patternFill>
    </fill>
    <fill>
      <patternFill patternType="solid">
        <fgColor rgb="00FFF7CD"/>
      </patternFill>
    </fill>
    <fill>
      <patternFill patternType="solid">
        <fgColor rgb="00E3F5EC"/>
      </patternFill>
    </fill>
    <fill>
      <patternFill patternType="solid">
        <fgColor rgb="00F0E9FB"/>
      </patternFill>
    </fill>
    <fill>
      <patternFill patternType="solid">
        <fgColor rgb="00EAF2FB"/>
      </patternFill>
    </fill>
  </fills>
  <borders count="2">
    <border>
      <left/>
      <right/>
      <top/>
      <bottom/>
      <diagonal/>
    </border>
    <border>
      <left style="thin">
        <color rgb="00D7DEE6"/>
      </left>
      <right style="thin">
        <color rgb="00D7DEE6"/>
      </right>
      <top style="thin">
        <color rgb="00D7DEE6"/>
      </top>
      <bottom style="thin">
        <color rgb="00D7DEE6"/>
      </bottom>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left" vertical="center"/>
    </xf>
    <xf numFmtId="0" fontId="2" fillId="0" borderId="0" pivotButton="0" quotePrefix="0" xfId="0"/>
    <xf numFmtId="0" fontId="3" fillId="0" borderId="0" pivotButton="0" quotePrefix="0" xfId="0"/>
    <xf numFmtId="0" fontId="4" fillId="3" borderId="0" applyAlignment="1" pivotButton="0" quotePrefix="0" xfId="0">
      <alignment horizontal="left" vertical="top" wrapText="1"/>
    </xf>
    <xf numFmtId="0" fontId="5" fillId="4" borderId="0" applyAlignment="1" pivotButton="0" quotePrefix="0" xfId="0">
      <alignment horizontal="left" vertical="center"/>
    </xf>
    <xf numFmtId="0" fontId="6" fillId="2" borderId="1" pivotButton="0" quotePrefix="0" xfId="0"/>
    <xf numFmtId="0" fontId="0" fillId="0" borderId="1" pivotButton="0" quotePrefix="0" xfId="0"/>
    <xf numFmtId="0" fontId="7" fillId="0" borderId="1" pivotButton="0" quotePrefix="0" xfId="0"/>
    <xf numFmtId="0" fontId="3" fillId="0" borderId="1" applyAlignment="1" pivotButton="0" quotePrefix="0" xfId="0">
      <alignment wrapText="1"/>
    </xf>
    <xf numFmtId="0" fontId="3" fillId="0" borderId="1" pivotButton="0" quotePrefix="0" xfId="0"/>
    <xf numFmtId="0" fontId="3" fillId="5" borderId="1" pivotButton="0" quotePrefix="0" xfId="0"/>
    <xf numFmtId="164" fontId="3" fillId="5" borderId="1" pivotButton="0" quotePrefix="0" xfId="0"/>
    <xf numFmtId="164" fontId="8" fillId="6" borderId="1" pivotButton="0" quotePrefix="0" xfId="0"/>
    <xf numFmtId="0" fontId="9" fillId="0" borderId="0" pivotButton="0" quotePrefix="0" xfId="0"/>
    <xf numFmtId="164" fontId="3" fillId="7" borderId="1" pivotButton="0" quotePrefix="0" xfId="0"/>
    <xf numFmtId="165" fontId="3" fillId="5" borderId="1" pivotButton="0" quotePrefix="0" xfId="0"/>
    <xf numFmtId="0" fontId="4" fillId="0" borderId="0" applyAlignment="1" pivotButton="0" quotePrefix="0" xfId="0">
      <alignment horizontal="left"/>
    </xf>
    <xf numFmtId="165" fontId="3" fillId="8" borderId="1" pivotButton="0" quotePrefix="0" xfId="0"/>
    <xf numFmtId="165" fontId="3" fillId="7" borderId="1" pivotButton="0" quotePrefix="0" xfId="0"/>
    <xf numFmtId="4" fontId="3" fillId="8" borderId="1" pivotButton="0" quotePrefix="0" xfId="0"/>
    <xf numFmtId="0" fontId="3" fillId="0" borderId="0" applyAlignment="1" pivotButton="0" quotePrefix="0" xfId="0">
      <alignment wrapText="1"/>
    </xf>
    <xf numFmtId="166" fontId="3" fillId="8" borderId="1" pivotButton="0" quotePrefix="0" xfId="0"/>
    <xf numFmtId="164" fontId="3" fillId="8" borderId="1" pivotButton="0" quotePrefix="0" xfId="0"/>
    <xf numFmtId="0" fontId="3" fillId="0" borderId="0" applyAlignment="1" pivotButton="0" quotePrefix="0" xfId="0">
      <alignment vertical="top" wrapText="1"/>
    </xf>
    <xf numFmtId="0" fontId="3" fillId="8" borderId="1" pivotButton="0" quotePrefix="0" xfId="0"/>
    <xf numFmtId="167" fontId="3" fillId="8" borderId="1" pivotButton="0" quotePrefix="0" xfId="0"/>
    <xf numFmtId="165" fontId="8" fillId="6" borderId="1" pivotButton="0" quotePrefix="0" xfId="0"/>
    <xf numFmtId="0" fontId="3"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1_Inputs_Globales'!A1" TargetMode="External" Id="rId1"/><Relationship Type="http://schemas.openxmlformats.org/officeDocument/2006/relationships/hyperlink" Target="#'VA_5_10_20'!A1" TargetMode="External" Id="rId2"/><Relationship Type="http://schemas.openxmlformats.org/officeDocument/2006/relationships/hyperlink" Target="#'Sens_50_100bp'!A1" TargetMode="External" Id="rId3"/><Relationship Type="http://schemas.openxmlformats.org/officeDocument/2006/relationships/hyperlink" Target="#'Tipo_DGS'!A1" TargetMode="External" Id="rId4"/><Relationship Type="http://schemas.openxmlformats.org/officeDocument/2006/relationships/hyperlink" Target="#'SemiMatching'!A1" TargetMode="External" Id="rId5"/><Relationship Type="http://schemas.openxmlformats.org/officeDocument/2006/relationships/hyperlink" Target="#'NoEuro'!A1" TargetMode="External" Id="rId6"/><Relationship Type="http://schemas.openxmlformats.org/officeDocument/2006/relationships/hyperlink" Target="#'Garantia_1y'!A1" TargetMode="External" Id="rId7"/><Relationship Type="http://schemas.openxmlformats.org/officeDocument/2006/relationships/hyperlink" Target="#'CF_Matching'!A1" TargetMode="External" Id="rId8"/><Relationship Type="http://schemas.openxmlformats.org/officeDocument/2006/relationships/hyperlink" Target="#'Dur_Matching'!A1" TargetMode="External" Id="rId9"/><Relationship Type="http://schemas.openxmlformats.org/officeDocument/2006/relationships/hyperlink" Target="#'Rentabilidad_Real'!A1" TargetMode="External" Id="rId10"/><Relationship Type="http://schemas.openxmlformats.org/officeDocument/2006/relationships/hyperlink" Target="#'Pre1999'!A1" TargetMode="External" Id="rId11"/><Relationship Type="http://schemas.openxmlformats.org/officeDocument/2006/relationships/hyperlink" Target="#'Pre2016'!A1" TargetMode="External" Id="rId12"/><Relationship Type="http://schemas.openxmlformats.org/officeDocument/2006/relationships/hyperlink" Target="#'Post2016'!A1" TargetMode="External" Id="rId13"/><Relationship Type="http://schemas.openxmlformats.org/officeDocument/2006/relationships/hyperlink" Target="#'PB'!A1" TargetMode="External" Id="rId14"/><Relationship Type="http://schemas.openxmlformats.org/officeDocument/2006/relationships/hyperlink" Target="#'Fallback_33_4'!A1" TargetMode="External" Id="rId15"/><Relationship Type="http://schemas.openxmlformats.org/officeDocument/2006/relationships/hyperlink" Target="#'DA5_Dotacion'!A1" TargetMode="External" Id="rId16"/></Relationships>
</file>

<file path=xl/worksheets/sheet1.xml><?xml version="1.0" encoding="utf-8"?>
<worksheet xmlns="http://schemas.openxmlformats.org/spreadsheetml/2006/main">
  <sheetPr>
    <outlinePr summaryBelow="1" summaryRight="1"/>
    <pageSetUpPr/>
  </sheetPr>
  <dimension ref="A1:F29"/>
  <sheetViews>
    <sheetView showGridLines="0" workbookViewId="0">
      <selection activeCell="A1" sqref="A1"/>
    </sheetView>
  </sheetViews>
  <sheetFormatPr baseColWidth="8" defaultRowHeight="15"/>
  <cols>
    <col width="4" customWidth="1" min="1" max="1"/>
    <col width="32" customWidth="1" min="2" max="2"/>
    <col width="55" customWidth="1" min="3" max="3"/>
    <col width="22" customWidth="1" min="4" max="4"/>
    <col width="16" customWidth="1" min="5" max="5"/>
  </cols>
  <sheetData>
    <row r="1" ht="30" customHeight="1">
      <c r="A1" s="1" t="inlineStr">
        <is>
          <t>📘 EJEMPLOS ARTÍCULO 33 ROSSP — Tipo de interés técnico para la Provisión de Seguros de Vida</t>
        </is>
      </c>
    </row>
    <row r="3">
      <c r="B3" s="2" t="inlineStr">
        <is>
          <t>Usuario:</t>
        </is>
      </c>
      <c r="C3" s="3" t="inlineStr">
        <is>
          <t>José Valencia Figueroa</t>
        </is>
      </c>
    </row>
    <row r="4">
      <c r="B4" s="2" t="inlineStr">
        <is>
          <t>Fecha de sellado:</t>
        </is>
      </c>
      <c r="C4" s="3" t="inlineStr">
        <is>
          <t>30 de septiembre de 2026</t>
        </is>
      </c>
    </row>
    <row r="5">
      <c r="B5" s="2" t="inlineStr">
        <is>
          <t>Versión:</t>
        </is>
      </c>
      <c r="C5" s="3" t="inlineStr">
        <is>
          <t>v1.0</t>
        </is>
      </c>
    </row>
    <row r="6">
      <c r="B6" s="2" t="inlineStr">
        <is>
          <t>Norma base:</t>
        </is>
      </c>
      <c r="C6" s="3" t="inlineStr">
        <is>
          <t>RD 2486/1998 (ROSSP), art. 33 y conexos (DT2ª, DA5ª RD1060/2015, Guía Técnica 2/2016 DGSFP)</t>
        </is>
      </c>
    </row>
    <row r="8" ht="18" customHeight="1">
      <c r="B8" s="4" t="inlineStr">
        <is>
          <t>⚠️ IMPORTANTE: Todos los casos numéricos de este libro son EJEMPLOS HIPOTÉTICOS EXCLUSIVAMENTE DIDÁCTICOS. No se usan datos reales de entidades. Cada hoja incluye fórmulas nativas de Excel auditables (celda a celda) más una columna 'Recalculo_Python' con el mismo resultado obtenido de forma independiente en Python, para doble comprobación.</t>
        </is>
      </c>
    </row>
    <row r="9" ht="18" customHeight="1"/>
    <row r="10" ht="18" customHeight="1"/>
    <row r="12">
      <c r="B12" s="5" t="inlineStr">
        <is>
          <t>ÍNDICE DE HOJAS</t>
        </is>
      </c>
    </row>
    <row r="13">
      <c r="B13" s="6" t="inlineStr">
        <is>
          <t>#</t>
        </is>
      </c>
      <c r="C13" s="6" t="inlineStr">
        <is>
          <t>Hoja</t>
        </is>
      </c>
      <c r="D13" s="6" t="inlineStr">
        <is>
          <t>Contenido / Caso</t>
        </is>
      </c>
      <c r="E13" s="6" t="inlineStr">
        <is>
          <t>Régimen art. 33</t>
        </is>
      </c>
      <c r="F13" s="6" t="inlineStr">
        <is>
          <t>Nivel</t>
        </is>
      </c>
    </row>
    <row r="14" ht="30" customHeight="1">
      <c r="B14" s="7" t="inlineStr">
        <is>
          <t>01</t>
        </is>
      </c>
      <c r="C14" s="8" t="inlineStr">
        <is>
          <t>01_Inputs_Globales</t>
        </is>
      </c>
      <c r="D14" s="9" t="inlineStr">
        <is>
          <t>Convención de tipo (nominal/efectiva), supuestos didácticos, shocks, precisión</t>
        </is>
      </c>
      <c r="E14" s="10" t="inlineStr">
        <is>
          <t>Transversal</t>
        </is>
      </c>
      <c r="F14" s="7" t="inlineStr">
        <is>
          <t>Básico</t>
        </is>
      </c>
    </row>
    <row r="15" ht="30" customHeight="1">
      <c r="B15" s="7" t="inlineStr">
        <is>
          <t>02</t>
        </is>
      </c>
      <c r="C15" s="8" t="inlineStr">
        <is>
          <t>VA_5_10_20</t>
        </is>
      </c>
      <c r="D15" s="9" t="inlineStr">
        <is>
          <t>Sensibilidad del Valor Actual a distintos plazos (5/10/20 años)</t>
        </is>
      </c>
      <c r="E15" s="10" t="inlineStr">
        <is>
          <t>33.1.a.1 (Tipo DGS)</t>
        </is>
      </c>
      <c r="F15" s="7" t="inlineStr">
        <is>
          <t>Intermedio</t>
        </is>
      </c>
    </row>
    <row r="16" ht="30" customHeight="1">
      <c r="B16" s="7" t="inlineStr">
        <is>
          <t>03</t>
        </is>
      </c>
      <c r="C16" s="8" t="inlineStr">
        <is>
          <t>Sens_50_100bp</t>
        </is>
      </c>
      <c r="D16" s="9" t="inlineStr">
        <is>
          <t>Sensibilidad de la Provisión Matemática a shocks ±50/100 pb</t>
        </is>
      </c>
      <c r="E16" s="10" t="inlineStr">
        <is>
          <t>Transversal</t>
        </is>
      </c>
      <c r="F16" s="7" t="inlineStr">
        <is>
          <t>Actuarial</t>
        </is>
      </c>
    </row>
    <row r="17" ht="30" customHeight="1">
      <c r="B17" s="7" t="inlineStr">
        <is>
          <t>04</t>
        </is>
      </c>
      <c r="C17" s="8" t="inlineStr">
        <is>
          <t>Tipo_DGS</t>
        </is>
      </c>
      <c r="D17" s="9" t="inlineStr">
        <is>
          <t>Cálculo del Tipo DGS (fórmula legal completa)</t>
        </is>
      </c>
      <c r="E17" s="10" t="inlineStr">
        <is>
          <t>33.1.a.1º / b.1º</t>
        </is>
      </c>
      <c r="F17" s="7" t="inlineStr">
        <is>
          <t>Actuarial</t>
        </is>
      </c>
    </row>
    <row r="18" ht="30" customHeight="1">
      <c r="B18" s="7" t="inlineStr">
        <is>
          <t>05</t>
        </is>
      </c>
      <c r="C18" s="8" t="inlineStr">
        <is>
          <t>SemiMatching</t>
        </is>
      </c>
      <c r="D18" s="9" t="inlineStr">
        <is>
          <t>Comparación de duraciones cobro vs. pago (1 o 2 tramos)</t>
        </is>
      </c>
      <c r="E18" s="10" t="inlineStr">
        <is>
          <t>33.1.a.2º</t>
        </is>
      </c>
      <c r="F18" s="7" t="inlineStr">
        <is>
          <t>Actuarial</t>
        </is>
      </c>
    </row>
    <row r="19" ht="30" customHeight="1">
      <c r="B19" s="7" t="inlineStr">
        <is>
          <t>06</t>
        </is>
      </c>
      <c r="C19" s="8" t="inlineStr">
        <is>
          <t>NoEuro</t>
        </is>
      </c>
      <c r="D19" s="9" t="inlineStr">
        <is>
          <t>Régimen espejo en moneda distinta al euro</t>
        </is>
      </c>
      <c r="E19" s="10" t="inlineStr">
        <is>
          <t>33.1.b</t>
        </is>
      </c>
      <c r="F19" s="7" t="inlineStr">
        <is>
          <t>Actuarial</t>
        </is>
      </c>
    </row>
    <row r="20" ht="30" customHeight="1">
      <c r="B20" s="7" t="inlineStr">
        <is>
          <t>07</t>
        </is>
      </c>
      <c r="C20" s="8" t="inlineStr">
        <is>
          <t>Garantia_1y</t>
        </is>
      </c>
      <c r="D20" s="9" t="inlineStr">
        <is>
          <t>Tipo garantizado fijado a periodo ≤1 año (precomunicado)</t>
        </is>
      </c>
      <c r="E20" s="10" t="inlineStr">
        <is>
          <t>33.1.c</t>
        </is>
      </c>
      <c r="F20" s="7" t="inlineStr">
        <is>
          <t>Básico</t>
        </is>
      </c>
    </row>
    <row r="21" ht="30" customHeight="1">
      <c r="B21" s="7" t="inlineStr">
        <is>
          <t>08</t>
        </is>
      </c>
      <c r="C21" s="8" t="inlineStr">
        <is>
          <t>CF_Matching</t>
        </is>
      </c>
      <c r="D21" s="9" t="inlineStr">
        <is>
          <t>Inmunización por coincidencia de flujos (Cash Flow Matching)</t>
        </is>
      </c>
      <c r="E21" s="10" t="inlineStr">
        <is>
          <t>33.2.a</t>
        </is>
      </c>
      <c r="F21" s="7" t="inlineStr">
        <is>
          <t>Actuarial</t>
        </is>
      </c>
    </row>
    <row r="22" ht="30" customHeight="1">
      <c r="B22" s="7" t="inlineStr">
        <is>
          <t>09</t>
        </is>
      </c>
      <c r="C22" s="8" t="inlineStr">
        <is>
          <t>Dur_Matching</t>
        </is>
      </c>
      <c r="D22" s="9" t="inlineStr">
        <is>
          <t>Inmunización por relación de valores actuales (Duration Matching)</t>
        </is>
      </c>
      <c r="E22" s="10" t="inlineStr">
        <is>
          <t>33.2.b</t>
        </is>
      </c>
      <c r="F22" s="7" t="inlineStr">
        <is>
          <t>Actuarial</t>
        </is>
      </c>
    </row>
    <row r="23" ht="30" customHeight="1">
      <c r="B23" s="7" t="inlineStr">
        <is>
          <t>10</t>
        </is>
      </c>
      <c r="C23" s="8" t="inlineStr">
        <is>
          <t>Rentabilidad_Real</t>
        </is>
      </c>
      <c r="D23" s="9" t="inlineStr">
        <is>
          <t>Cláusula de Rentabilidad Real (RRAC)</t>
        </is>
      </c>
      <c r="E23" s="10" t="inlineStr">
        <is>
          <t>33.1 in fine / DT2ª</t>
        </is>
      </c>
      <c r="F23" s="7" t="inlineStr">
        <is>
          <t>Actuarial</t>
        </is>
      </c>
    </row>
    <row r="24" ht="30" customHeight="1">
      <c r="B24" s="7" t="inlineStr">
        <is>
          <t>11</t>
        </is>
      </c>
      <c r="C24" s="8" t="inlineStr">
        <is>
          <t>Pre1999</t>
        </is>
      </c>
      <c r="D24" s="9" t="inlineStr">
        <is>
          <t>Cartera anterior a la entrada en vigor del ROSSP</t>
        </is>
      </c>
      <c r="E24" s="10" t="inlineStr">
        <is>
          <t>DT 2ª ROSSP</t>
        </is>
      </c>
      <c r="F24" s="7" t="inlineStr">
        <is>
          <t>Actuarial</t>
        </is>
      </c>
    </row>
    <row r="25" ht="30" customHeight="1">
      <c r="B25" s="7" t="inlineStr">
        <is>
          <t>12</t>
        </is>
      </c>
      <c r="C25" s="8" t="inlineStr">
        <is>
          <t>Pre2016</t>
        </is>
      </c>
      <c r="D25" s="9" t="inlineStr">
        <is>
          <t>Cartera 1999-2015 sin migración a ETRLR</t>
        </is>
      </c>
      <c r="E25" s="10" t="inlineStr">
        <is>
          <t>Art. 33 clásico</t>
        </is>
      </c>
      <c r="F25" s="7" t="inlineStr">
        <is>
          <t>Intermedio</t>
        </is>
      </c>
    </row>
    <row r="26" ht="30" customHeight="1">
      <c r="B26" s="7" t="inlineStr">
        <is>
          <t>13</t>
        </is>
      </c>
      <c r="C26" s="8" t="inlineStr">
        <is>
          <t>Post2016</t>
        </is>
      </c>
      <c r="D26" s="9" t="inlineStr">
        <is>
          <t>Nueva producción desde 2016 (ETRLR + VA)</t>
        </is>
      </c>
      <c r="E26" s="10" t="inlineStr">
        <is>
          <t>Guía Técnica 2/2016</t>
        </is>
      </c>
      <c r="F26" s="7" t="inlineStr">
        <is>
          <t>Actuarial</t>
        </is>
      </c>
    </row>
    <row r="27" ht="30" customHeight="1">
      <c r="B27" s="7" t="inlineStr">
        <is>
          <t>14</t>
        </is>
      </c>
      <c r="C27" s="8" t="inlineStr">
        <is>
          <t>PB</t>
        </is>
      </c>
      <c r="D27" s="9" t="inlineStr">
        <is>
          <t>Tope adicional por Participación en Beneficios</t>
        </is>
      </c>
      <c r="E27" s="10" t="inlineStr">
        <is>
          <t>33.3</t>
        </is>
      </c>
      <c r="F27" s="7" t="inlineStr">
        <is>
          <t>Actuarial</t>
        </is>
      </c>
    </row>
    <row r="28" ht="30" customHeight="1">
      <c r="B28" s="7" t="inlineStr">
        <is>
          <t>15</t>
        </is>
      </c>
      <c r="C28" s="8" t="inlineStr">
        <is>
          <t>Fallback_33_4</t>
        </is>
      </c>
      <c r="D28" s="9" t="inlineStr">
        <is>
          <t>Incumplimiento de inmunización → recálculo art. 33.1</t>
        </is>
      </c>
      <c r="E28" s="10" t="inlineStr">
        <is>
          <t>33.4</t>
        </is>
      </c>
      <c r="F28" s="7" t="inlineStr">
        <is>
          <t>Actuarial</t>
        </is>
      </c>
    </row>
    <row r="29" ht="30" customHeight="1">
      <c r="B29" s="7" t="inlineStr">
        <is>
          <t>16</t>
        </is>
      </c>
      <c r="C29" s="8" t="inlineStr">
        <is>
          <t>DA5_Dotacion</t>
        </is>
      </c>
      <c r="D29" s="9" t="inlineStr">
        <is>
          <t>Dotación lineal a 10 años (migración a ETRLR)</t>
        </is>
      </c>
      <c r="E29" s="10" t="inlineStr">
        <is>
          <t>DA 5ª RD 1060/2015</t>
        </is>
      </c>
      <c r="F29" s="7" t="inlineStr">
        <is>
          <t>Actuarial</t>
        </is>
      </c>
    </row>
  </sheetData>
  <mergeCells count="3">
    <mergeCell ref="B8:E10"/>
    <mergeCell ref="A1:E1"/>
    <mergeCell ref="B12:E12"/>
  </mergeCells>
  <hyperlinks>
    <hyperlink xmlns:r="http://schemas.openxmlformats.org/officeDocument/2006/relationships" ref="C14" r:id="rId1"/>
    <hyperlink xmlns:r="http://schemas.openxmlformats.org/officeDocument/2006/relationships" ref="C15" r:id="rId2"/>
    <hyperlink xmlns:r="http://schemas.openxmlformats.org/officeDocument/2006/relationships" ref="C16" r:id="rId3"/>
    <hyperlink xmlns:r="http://schemas.openxmlformats.org/officeDocument/2006/relationships" ref="C17" r:id="rId4"/>
    <hyperlink xmlns:r="http://schemas.openxmlformats.org/officeDocument/2006/relationships" ref="C18" r:id="rId5"/>
    <hyperlink xmlns:r="http://schemas.openxmlformats.org/officeDocument/2006/relationships" ref="C19" r:id="rId6"/>
    <hyperlink xmlns:r="http://schemas.openxmlformats.org/officeDocument/2006/relationships" ref="C20" r:id="rId7"/>
    <hyperlink xmlns:r="http://schemas.openxmlformats.org/officeDocument/2006/relationships" ref="C21" r:id="rId8"/>
    <hyperlink xmlns:r="http://schemas.openxmlformats.org/officeDocument/2006/relationships" ref="C22" r:id="rId9"/>
    <hyperlink xmlns:r="http://schemas.openxmlformats.org/officeDocument/2006/relationships" ref="C23" r:id="rId10"/>
    <hyperlink xmlns:r="http://schemas.openxmlformats.org/officeDocument/2006/relationships" ref="C24" r:id="rId11"/>
    <hyperlink xmlns:r="http://schemas.openxmlformats.org/officeDocument/2006/relationships" ref="C25" r:id="rId12"/>
    <hyperlink xmlns:r="http://schemas.openxmlformats.org/officeDocument/2006/relationships" ref="C26" r:id="rId13"/>
    <hyperlink xmlns:r="http://schemas.openxmlformats.org/officeDocument/2006/relationships" ref="C27" r:id="rId14"/>
    <hyperlink xmlns:r="http://schemas.openxmlformats.org/officeDocument/2006/relationships" ref="C28" r:id="rId15"/>
    <hyperlink xmlns:r="http://schemas.openxmlformats.org/officeDocument/2006/relationships" ref="C29" r:id="rId1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 customWidth="1" min="1" max="1"/>
    <col width="34" customWidth="1" min="2" max="2"/>
    <col width="18" customWidth="1" min="3" max="3"/>
    <col width="18" customWidth="1" min="4" max="4"/>
    <col width="40" customWidth="1" min="5" max="5"/>
    <col width="14" customWidth="1" min="6" max="6"/>
    <col width="14" customWidth="1" min="7" max="7"/>
  </cols>
  <sheetData>
    <row r="1" ht="24" customHeight="1">
      <c r="A1" s="1" t="inlineStr">
        <is>
          <t>01. INPUTS GLOBALES — Convenciones, supuestos didácticos y precisión</t>
        </is>
      </c>
    </row>
    <row r="3">
      <c r="B3" s="5" t="inlineStr">
        <is>
          <t>CONVENCIÓN DE TIPO DE INTERÉS (selector)</t>
        </is>
      </c>
    </row>
    <row r="4">
      <c r="B4" s="2" t="inlineStr">
        <is>
          <t>Convención_tipo</t>
        </is>
      </c>
      <c r="C4" s="11" t="inlineStr">
        <is>
          <t>Efectiva anual (default)</t>
        </is>
      </c>
    </row>
    <row r="5">
      <c r="B5" s="2" t="inlineStr">
        <is>
          <t>m_capitalizaciones (si Nominal anual)</t>
        </is>
      </c>
      <c r="C5" s="11" t="n">
        <v>12</v>
      </c>
    </row>
    <row r="6">
      <c r="B6" s="2" t="inlineStr">
        <is>
          <t>Tipo input j (nominal o efectivo, %)</t>
        </is>
      </c>
      <c r="C6" s="12" t="n">
        <v>0.03</v>
      </c>
    </row>
    <row r="7">
      <c r="B7" s="2" t="inlineStr">
        <is>
          <t>i_efectiva_equivalente (fórmula visible)</t>
        </is>
      </c>
      <c r="C7" s="13">
        <f>IF(C4="Efectiva anual (default)",C6,(1+C6/C5)^C5-1)</f>
        <v/>
      </c>
      <c r="D7" s="14" t="inlineStr">
        <is>
          <t>i_eff = (1+j/m)^m − 1</t>
        </is>
      </c>
    </row>
    <row r="8">
      <c r="B8" s="2" t="inlineStr">
        <is>
          <t>Recalculo_Python (i_efectiva_equivalente)</t>
        </is>
      </c>
      <c r="C8" s="15" t="n">
        <v>0.03</v>
      </c>
    </row>
    <row r="10" ht="18" customHeight="1">
      <c r="B10" s="4" t="inlineStr">
        <is>
          <t>⚠️ Error frecuente: confundir tipo NOMINAL con tipo EFECTIVO. Ejemplo: j=3,00% nominal anual con m=12 capitalizaciones (mensual) equivale a i_efectiva = (1+0,03/12)^12 − 1 = 3,0416%, NO a 3,00%. La diferencia crece con m y con el nivel de j. Por defecto, TODAS las hojas de casos de este libro usan la convención 'Efectiva anual' y descuentan con (1+i)^t (t en años).</t>
        </is>
      </c>
    </row>
    <row r="11" ht="18" customHeight="1"/>
    <row r="12" ht="18" customHeight="1"/>
    <row r="13" ht="18" customHeight="1"/>
    <row r="15">
      <c r="B15" s="5" t="inlineStr">
        <is>
          <t>BASE TEMPORAL (modo didáctico)</t>
        </is>
      </c>
    </row>
    <row r="16">
      <c r="B16" s="2" t="inlineStr">
        <is>
          <t>Convención de cómputo de tiempo:</t>
        </is>
      </c>
      <c r="C16" s="3" t="inlineStr">
        <is>
          <t>Base anual simple</t>
        </is>
      </c>
    </row>
    <row r="17">
      <c r="B17" s="2" t="inlineStr">
        <is>
          <t>Fórmula de descuento:</t>
        </is>
      </c>
      <c r="C17" s="3" t="inlineStr">
        <is>
          <t>VA = Flujo / (1+i)^t</t>
        </is>
      </c>
    </row>
    <row r="18" ht="18" customHeight="1">
      <c r="B18" s="4" t="inlineStr">
        <is>
          <t>Por defecto NO se implementan convenciones de cómputo de días (ACT/365, 30/360, etc.) para evitar carga cognitiva y discrepancias didácticas. 't' se expresa en años (entero o decimal). Si se requiere 'modo avanzado' con day-count, debe solicitarse expresamente y se documentará como extensión avanzada.</t>
        </is>
      </c>
    </row>
    <row r="19" ht="18" customHeight="1"/>
    <row r="20" ht="18" customHeight="1"/>
    <row r="22">
      <c r="B22" s="5" t="inlineStr">
        <is>
          <t>SUPUESTOS DIDÁCTICOS GENERALES</t>
        </is>
      </c>
    </row>
    <row r="23">
      <c r="B23" s="3" t="inlineStr">
        <is>
          <t>•</t>
        </is>
      </c>
      <c r="C23" s="3" t="inlineStr">
        <is>
          <t>Todos los ejemplos numéricos son HIPOTÉTICOS y EXCLUSIVAMENTE DIDÁCTICOS.</t>
        </is>
      </c>
    </row>
    <row r="24">
      <c r="B24" s="3" t="inlineStr">
        <is>
          <t>•</t>
        </is>
      </c>
      <c r="C24" s="3" t="inlineStr">
        <is>
          <t>No se utilizan datos reales de entidades aseguradoras.</t>
        </is>
      </c>
    </row>
    <row r="25">
      <c r="B25" s="3" t="inlineStr">
        <is>
          <t>•</t>
        </is>
      </c>
      <c r="C25" s="3" t="inlineStr">
        <is>
          <t>Cálculo póliza a póliza simplificado (sin mortalidad/persistencia salvo que se indique expresamente).</t>
        </is>
      </c>
    </row>
    <row r="26">
      <c r="B26" s="3" t="inlineStr">
        <is>
          <t>•</t>
        </is>
      </c>
      <c r="C26" s="3" t="inlineStr">
        <is>
          <t>Precisión de cálculo: 4 decimales en tipos (%), 2 decimales en importes monetarios (€).</t>
        </is>
      </c>
    </row>
    <row r="27">
      <c r="B27" s="3" t="inlineStr">
        <is>
          <t>•</t>
        </is>
      </c>
      <c r="C27" s="3" t="inlineStr">
        <is>
          <t>Moneda de referencia por defecto: EUR, salvo hoja 'NoEuro'.</t>
        </is>
      </c>
    </row>
    <row r="29">
      <c r="B29" s="5" t="inlineStr">
        <is>
          <t>SHOCKS DE SENSIBILIDAD (parámetros globales)</t>
        </is>
      </c>
    </row>
    <row r="30">
      <c r="B30" s="2" t="inlineStr">
        <is>
          <t>Shock_bajo (pb)</t>
        </is>
      </c>
      <c r="C30" s="11" t="n">
        <v>-50</v>
      </c>
    </row>
    <row r="31">
      <c r="B31" s="2" t="inlineStr">
        <is>
          <t>Shock_alto (pb)</t>
        </is>
      </c>
      <c r="C31" s="11" t="n">
        <v>100</v>
      </c>
    </row>
  </sheetData>
  <mergeCells count="12">
    <mergeCell ref="B3:G3"/>
    <mergeCell ref="A1:G1"/>
    <mergeCell ref="B22:G22"/>
    <mergeCell ref="C24:G24"/>
    <mergeCell ref="B18:G20"/>
    <mergeCell ref="B10:G13"/>
    <mergeCell ref="C25:G25"/>
    <mergeCell ref="C27:G27"/>
    <mergeCell ref="B29:G29"/>
    <mergeCell ref="C23:G23"/>
    <mergeCell ref="B15:G15"/>
    <mergeCell ref="C26:G26"/>
  </mergeCells>
  <dataValidations count="2">
    <dataValidation sqref="C4" showDropDown="0" showInputMessage="0" showErrorMessage="0" allowBlank="0" type="list">
      <formula1>"Efectiva anual (default),Nominal anual"</formula1>
    </dataValidation>
    <dataValidation sqref="C5" showDropDown="0" showInputMessage="0" showErrorMessage="0" allowBlank="0" type="list">
      <formula1>"1,2,4,12"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 customWidth="1" min="1" max="1"/>
    <col width="30" customWidth="1" min="2" max="2"/>
    <col width="16" customWidth="1" min="3" max="3"/>
    <col width="16" customWidth="1" min="4" max="4"/>
    <col width="16" customWidth="1" min="5" max="5"/>
    <col width="30" customWidth="1" min="6" max="6"/>
    <col width="16" customWidth="1" min="7" max="7"/>
    <col width="16" customWidth="1" min="8" max="8"/>
  </cols>
  <sheetData>
    <row r="1" ht="22" customHeight="1">
      <c r="A1" s="1" t="inlineStr">
        <is>
          <t>02. VA_5_10_20 — Sensibilidad del Valor Actual a distintos plazos [Art. 33.1.a.1º]</t>
        </is>
      </c>
    </row>
    <row r="3">
      <c r="B3" s="5" t="inlineStr">
        <is>
          <t>NORMA vs HIPÓTESIS</t>
        </is>
      </c>
    </row>
    <row r="4" ht="18" customHeight="1">
      <c r="B4" s="4" t="inlineStr">
        <is>
          <t>Norma: RD 2486/1998, art. 33.1.a.1º (Tipo DGS). Hipótesis didáctica: capital único garantizado C, sin gastos ni mortalidad, para ilustrar el efecto exclusivo del descuento temporal a distintos plazos (5/10/20 años).</t>
        </is>
      </c>
    </row>
    <row r="5" ht="18" customHeight="1"/>
    <row r="6" ht="18" customHeight="1"/>
    <row r="8">
      <c r="B8" s="5" t="inlineStr">
        <is>
          <t>INPUTS</t>
        </is>
      </c>
    </row>
    <row r="9">
      <c r="B9" s="2" t="inlineStr">
        <is>
          <t>Capital garantizado C (€)</t>
        </is>
      </c>
      <c r="C9" s="16" t="n">
        <v>100000</v>
      </c>
    </row>
    <row r="10">
      <c r="B10" s="2" t="inlineStr">
        <is>
          <t>Tipo DGS aplicable i (%) — usar i_efectiva_equivalente</t>
        </is>
      </c>
      <c r="C10" s="12">
        <f>('01_Inputs_Globales'!C7)</f>
        <v/>
      </c>
    </row>
    <row r="12">
      <c r="B12" s="5" t="inlineStr">
        <is>
          <t>CÁLCULO PASO A PASO</t>
        </is>
      </c>
    </row>
    <row r="13">
      <c r="B13" s="6" t="inlineStr">
        <is>
          <t>Plazo t (años)</t>
        </is>
      </c>
      <c r="C13" s="6" t="inlineStr">
        <is>
          <t>Fórmula Excel</t>
        </is>
      </c>
      <c r="D13" s="6" t="inlineStr">
        <is>
          <t>VA = C/(1+i)^t</t>
        </is>
      </c>
      <c r="E13" s="6" t="inlineStr">
        <is>
          <t>Recalculo_Python</t>
        </is>
      </c>
      <c r="F13" s="6" t="inlineStr">
        <is>
          <t>Diferencia (check)</t>
        </is>
      </c>
    </row>
    <row r="14">
      <c r="B14" s="11" t="n">
        <v>5</v>
      </c>
      <c r="C14" s="17">
        <f>$C$9/(1+$C$10)^B14</f>
        <v/>
      </c>
      <c r="D14" s="18">
        <f>$C$9/(1+$C$10)^B14</f>
        <v/>
      </c>
      <c r="E14" s="19" t="n">
        <v>86260.87843841639</v>
      </c>
      <c r="F14" s="20">
        <f>D14-E14</f>
        <v/>
      </c>
    </row>
    <row r="15">
      <c r="B15" s="11" t="n">
        <v>10</v>
      </c>
      <c r="C15" s="17">
        <f>$C$9/(1+$C$10)^B15</f>
        <v/>
      </c>
      <c r="D15" s="18">
        <f>$C$9/(1+$C$10)^B15</f>
        <v/>
      </c>
      <c r="E15" s="19" t="n">
        <v>74409.39148967249</v>
      </c>
      <c r="F15" s="20">
        <f>D15-E15</f>
        <v/>
      </c>
    </row>
    <row r="16">
      <c r="B16" s="11" t="n">
        <v>20</v>
      </c>
      <c r="C16" s="17">
        <f>$C$9/(1+$C$10)^B16</f>
        <v/>
      </c>
      <c r="D16" s="18">
        <f>$C$9/(1+$C$10)^B16</f>
        <v/>
      </c>
      <c r="E16" s="19" t="n">
        <v>55367.57541863345</v>
      </c>
      <c r="F16" s="20">
        <f>D16-E16</f>
        <v/>
      </c>
    </row>
    <row r="18">
      <c r="B18" s="5" t="inlineStr">
        <is>
          <t>RESULTADO E INTERPRETACIÓN</t>
        </is>
      </c>
    </row>
    <row r="19" ht="30" customHeight="1">
      <c r="B19" s="21" t="inlineStr">
        <is>
          <t>A mayor plazo t, MENOR el Valor Actual (mayor descuento acumulado). La sensibilidad es no lineal (convexidad del descuento compuesto).</t>
        </is>
      </c>
    </row>
    <row r="21">
      <c r="B21" s="5" t="inlineStr">
        <is>
          <t>CHECKS</t>
        </is>
      </c>
    </row>
    <row r="22">
      <c r="B22" s="3" t="inlineStr">
        <is>
          <t>Check 1: Diferencia Excel vs Python debe ser ≈0 en las 3 filas.</t>
        </is>
      </c>
    </row>
    <row r="23">
      <c r="B23" s="3" t="inlineStr">
        <is>
          <t>Check 2: VA(20a) &lt; VA(10a) &lt; VA(5a) (monotonía decreciente).</t>
        </is>
      </c>
    </row>
    <row r="25">
      <c r="B25" s="14" t="inlineStr">
        <is>
          <t>[RD 2486/1998, art. 33.1.a.1º] — Ejemplo hipotético exclusivamente didáctico.</t>
        </is>
      </c>
    </row>
  </sheetData>
  <mergeCells count="8">
    <mergeCell ref="B8:H8"/>
    <mergeCell ref="B18:H18"/>
    <mergeCell ref="B21:H21"/>
    <mergeCell ref="B12:H12"/>
    <mergeCell ref="B4:H6"/>
    <mergeCell ref="A1:H1"/>
    <mergeCell ref="B3:H3"/>
    <mergeCell ref="B19:H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 customWidth="1" min="1" max="1"/>
    <col width="30" customWidth="1" min="2" max="2"/>
    <col width="16" customWidth="1" min="3" max="3"/>
    <col width="16" customWidth="1" min="4" max="4"/>
    <col width="16" customWidth="1" min="5" max="5"/>
    <col width="16" customWidth="1" min="6" max="6"/>
    <col width="16" customWidth="1" min="7" max="7"/>
    <col width="30" customWidth="1" min="8" max="8"/>
  </cols>
  <sheetData>
    <row r="1" ht="22" customHeight="1">
      <c r="A1" s="1" t="inlineStr">
        <is>
          <t>03. Sens_50_100bp — Sensibilidad de la PM a shocks de tipo técnico [Transversal]</t>
        </is>
      </c>
    </row>
    <row r="3">
      <c r="B3" s="5" t="inlineStr">
        <is>
          <t>NORMA vs HIPÓTESIS</t>
        </is>
      </c>
    </row>
    <row r="4" ht="18" customHeight="1">
      <c r="B4" s="4" t="inlineStr">
        <is>
          <t>Hipótesis didáctica: se aplica un shock paralelo de ±50pb y +100pb sobre el tipo técnico base para medir el impacto en la Provisión Matemática de una renta/capital diferido a t=10 años. Es un análisis de sensibilidad, NO una regla del art. 33.</t>
        </is>
      </c>
    </row>
    <row r="5" ht="18" customHeight="1"/>
    <row r="6" ht="18" customHeight="1"/>
    <row r="8">
      <c r="B8" s="5" t="inlineStr">
        <is>
          <t>INPUTS</t>
        </is>
      </c>
    </row>
    <row r="9">
      <c r="B9" s="2" t="inlineStr">
        <is>
          <t>Capital garantizado C (€)</t>
        </is>
      </c>
      <c r="C9" s="16" t="n">
        <v>100000</v>
      </c>
    </row>
    <row r="10">
      <c r="B10" s="2" t="inlineStr">
        <is>
          <t>Plazo t (años)</t>
        </is>
      </c>
      <c r="C10" s="11" t="n">
        <v>10</v>
      </c>
    </row>
    <row r="11">
      <c r="B11" s="2" t="inlineStr">
        <is>
          <t>Tipo técnico base i (%)</t>
        </is>
      </c>
      <c r="C11" s="12" t="n">
        <v>0.03</v>
      </c>
    </row>
    <row r="12">
      <c r="B12" s="2" t="inlineStr">
        <is>
          <t>Shock bajo (pb) — vínculo a 01_Inputs_Globales</t>
        </is>
      </c>
      <c r="C12" s="22">
        <f>'01_Inputs_Globales'!C30</f>
        <v/>
      </c>
    </row>
    <row r="13">
      <c r="B13" s="2" t="inlineStr">
        <is>
          <t>Shock alto (pb) — vínculo a 01_Inputs_Globales</t>
        </is>
      </c>
      <c r="C13" s="22">
        <f>'01_Inputs_Globales'!C31</f>
        <v/>
      </c>
    </row>
    <row r="15">
      <c r="B15" s="5" t="inlineStr">
        <is>
          <t>CÁLCULO PASO A PASO</t>
        </is>
      </c>
    </row>
    <row r="16">
      <c r="B16" s="6" t="inlineStr">
        <is>
          <t>Escenario</t>
        </is>
      </c>
      <c r="C16" s="6" t="inlineStr">
        <is>
          <t>Tipo aplicado (%)</t>
        </is>
      </c>
      <c r="D16" s="6" t="inlineStr">
        <is>
          <t>VA=C/(1+i)^t (Excel)</t>
        </is>
      </c>
      <c r="E16" s="6" t="inlineStr">
        <is>
          <t>Recalculo_Python</t>
        </is>
      </c>
      <c r="F16" s="6" t="inlineStr">
        <is>
          <t>Δ vs Base (€)</t>
        </is>
      </c>
      <c r="G16" s="6" t="inlineStr">
        <is>
          <t>Δ% vs Base</t>
        </is>
      </c>
    </row>
    <row r="17">
      <c r="B17" s="3" t="inlineStr">
        <is>
          <t>Shock -100pb</t>
        </is>
      </c>
      <c r="C17" s="23">
        <f>$C$11+(-100/10000)</f>
        <v/>
      </c>
      <c r="D17" s="18">
        <f>$C$9/(1+C17)^$C$10</f>
        <v/>
      </c>
      <c r="E17" s="19" t="n">
        <v>82034.82998751552</v>
      </c>
      <c r="F17" s="18">
        <f>D17-D19</f>
        <v/>
      </c>
      <c r="G17" s="23">
        <f>F17/D19</f>
        <v/>
      </c>
    </row>
    <row r="18">
      <c r="B18" s="3" t="inlineStr">
        <is>
          <t>Shock -50pb (=Shock bajo)</t>
        </is>
      </c>
      <c r="C18" s="23">
        <f>$C$11+($C$12/10000)</f>
        <v/>
      </c>
      <c r="D18" s="18">
        <f>$C$9/(1+C18)^$C$10</f>
        <v/>
      </c>
      <c r="E18" s="19" t="n">
        <v>78119.84017257273</v>
      </c>
      <c r="F18" s="18">
        <f>D18-D19</f>
        <v/>
      </c>
      <c r="G18" s="23">
        <f>F18/D19</f>
        <v/>
      </c>
    </row>
    <row r="19">
      <c r="B19" s="3" t="inlineStr">
        <is>
          <t>Base</t>
        </is>
      </c>
      <c r="C19" s="23">
        <f>$C$11</f>
        <v/>
      </c>
      <c r="D19" s="18">
        <f>$C$9/(1+C19)^$C$10</f>
        <v/>
      </c>
      <c r="E19" s="19" t="n">
        <v>74409.39148967249</v>
      </c>
      <c r="F19" s="18">
        <f>D19-D19</f>
        <v/>
      </c>
      <c r="G19" s="23">
        <f>F19/D19</f>
        <v/>
      </c>
    </row>
    <row r="20">
      <c r="B20" s="3" t="inlineStr">
        <is>
          <t>Shock +50pb</t>
        </is>
      </c>
      <c r="C20" s="23">
        <f>$C$11+(50/10000)</f>
        <v/>
      </c>
      <c r="D20" s="18">
        <f>$C$9/(1+C20)^$C$10</f>
        <v/>
      </c>
      <c r="E20" s="19" t="n">
        <v>70891.88137097722</v>
      </c>
      <c r="F20" s="18">
        <f>D20-D19</f>
        <v/>
      </c>
      <c r="G20" s="23">
        <f>F20/D19</f>
        <v/>
      </c>
    </row>
    <row r="21">
      <c r="B21" s="3" t="inlineStr">
        <is>
          <t>Shock +100pb (=Shock alto)</t>
        </is>
      </c>
      <c r="C21" s="23">
        <f>$C$11+($C$13/10000)</f>
        <v/>
      </c>
      <c r="D21" s="18">
        <f>$C$9/(1+C21)^$C$10</f>
        <v/>
      </c>
      <c r="E21" s="19" t="n">
        <v>67556.41688257987</v>
      </c>
      <c r="F21" s="18">
        <f>D21-D19</f>
        <v/>
      </c>
      <c r="G21" s="23">
        <f>F21/D19</f>
        <v/>
      </c>
    </row>
    <row r="23">
      <c r="B23" s="5" t="inlineStr">
        <is>
          <t>RESULTADO E INTERPRETACIÓN ACTUARIAL</t>
        </is>
      </c>
    </row>
    <row r="24" ht="30" customHeight="1">
      <c r="B24" s="24" t="inlineStr">
        <is>
          <t>Relación inversa tipo-PM: una subida de tipos reduce la PM (menor pasivo, posible ganancia técnica); una bajada de tipos incrementa la PM (mayor pasivo, riesgo de insuficiencia). Impacto asimétrico por convexidad del descuento.</t>
        </is>
      </c>
    </row>
    <row r="26">
      <c r="B26" s="5" t="inlineStr">
        <is>
          <t>CHECKS</t>
        </is>
      </c>
    </row>
    <row r="27">
      <c r="B27" s="3" t="inlineStr">
        <is>
          <t>Check: Δ debe ser negativo en shocks +bp y positivo en shocks -bp (monotonía).</t>
        </is>
      </c>
    </row>
    <row r="28">
      <c r="B28" s="3" t="inlineStr">
        <is>
          <t>Check: |Δ(+100pb)| debe ser mayor que |Δ(+50pb)| pero NO exactamente el doble (convexidad).</t>
        </is>
      </c>
    </row>
    <row r="30">
      <c r="B30" s="14" t="inlineStr">
        <is>
          <t>Análisis de sensibilidad transversal — no corresponde a un apartado específico del art. 33, sino a buena práctica de control ALM/actuarial.</t>
        </is>
      </c>
    </row>
  </sheetData>
  <mergeCells count="8">
    <mergeCell ref="B8:H8"/>
    <mergeCell ref="B26:H26"/>
    <mergeCell ref="B4:H6"/>
    <mergeCell ref="B24:H24"/>
    <mergeCell ref="B15:H15"/>
    <mergeCell ref="A1:H1"/>
    <mergeCell ref="B3:H3"/>
    <mergeCell ref="B23:H2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 customWidth="1" min="1" max="1"/>
    <col width="45" customWidth="1" min="2" max="2"/>
    <col width="18" customWidth="1" min="3" max="3"/>
    <col width="45" customWidth="1" min="4" max="4"/>
    <col width="16" customWidth="1" min="5" max="5"/>
    <col width="16" customWidth="1" min="6" max="6"/>
    <col width="16" customWidth="1" min="7" max="7"/>
  </cols>
  <sheetData>
    <row r="1" ht="22" customHeight="1">
      <c r="A1" s="1" t="inlineStr">
        <is>
          <t>04. Tipo_DGS — Cálculo del Tipo DGS [Art. 33.1.a.1º / b.1º]</t>
        </is>
      </c>
    </row>
    <row r="3">
      <c r="B3" s="5" t="inlineStr">
        <is>
          <t>NORMA vs HIPÓTESIS</t>
        </is>
      </c>
    </row>
    <row r="4" ht="18" customHeight="1">
      <c r="B4" s="4" t="inlineStr">
        <is>
          <t>"El 60 por 100 de los tipos de interés medios del último trimestre del ejercicio anterior... de los empréstitos materializados en bonos y obligaciones del Estado, incrementado en el 50 por ciento de la diferencia entre el tipo de interés publicado por la DGSFP para el ejercicio anterior y el tipo de interés que resulte de la curva euroswap en el punto de la curva 11 años a 31 de diciembre del ejercicio anterior. El cálculo anterior no podrá exceder del 60 por 100 de los tipos de interés medios... a veinte o más años." [RD 2486/1998, art. 33.1.a.1º]. Valores de referencia (material formativo): Tipo DGS 2,18% en 2024; 1,83% en 2025.</t>
        </is>
      </c>
    </row>
    <row r="5" ht="18" customHeight="1"/>
    <row r="6" ht="18" customHeight="1"/>
    <row r="7" ht="18" customHeight="1"/>
    <row r="8" ht="18" customHeight="1"/>
    <row r="10">
      <c r="B10" s="5" t="inlineStr">
        <is>
          <t>INPUTS (valores hipotéticos didácticos)</t>
        </is>
      </c>
    </row>
    <row r="11">
      <c r="B11" s="2" t="inlineStr">
        <is>
          <t>i medio deuda pública general, último trim. ejerc. anterior (%)</t>
        </is>
      </c>
      <c r="C11" s="12" t="n">
        <v>0.033</v>
      </c>
    </row>
    <row r="12">
      <c r="B12" s="2" t="inlineStr">
        <is>
          <t>Tipo DGS publicado ejercicio anterior i_DGS(t-1) (%)</t>
        </is>
      </c>
      <c r="C12" s="12" t="n">
        <v>0.0183</v>
      </c>
    </row>
    <row r="13">
      <c r="B13" s="2" t="inlineStr">
        <is>
          <t>Tipo curva euroswap 11 años, 31-dic ejerc. anterior (%)</t>
        </is>
      </c>
      <c r="C13" s="12" t="n">
        <v>0.025</v>
      </c>
    </row>
    <row r="14">
      <c r="B14" s="2" t="inlineStr">
        <is>
          <t>i medio deuda pública 20 años o más, último trim. ejerc. anterior (%)</t>
        </is>
      </c>
      <c r="C14" s="12" t="n">
        <v>0.031</v>
      </c>
    </row>
    <row r="16">
      <c r="B16" s="5" t="inlineStr">
        <is>
          <t>CÁLCULO PASO A PASO</t>
        </is>
      </c>
    </row>
    <row r="17">
      <c r="B17" s="3" t="inlineStr">
        <is>
          <t>Paso 1: Componente base = 0,60 × i_DP_general + 0,50 × (i_DGS(t-1) − r_euroswap11a)</t>
        </is>
      </c>
      <c r="E17" s="23">
        <f>0.6*C11+0.5*(C12-C13)</f>
        <v/>
      </c>
    </row>
    <row r="18">
      <c r="B18" s="3" t="inlineStr">
        <is>
          <t>Paso 2: Tope (cap) = 0,60 × i_DP_20años+</t>
        </is>
      </c>
      <c r="E18" s="23">
        <f>0.6*C14</f>
        <v/>
      </c>
    </row>
    <row r="19">
      <c r="B19" s="3" t="inlineStr">
        <is>
          <t>Paso 3: Tipo DGS aplicable = MÍN(Paso1, Paso2)</t>
        </is>
      </c>
      <c r="E19" s="13">
        <f>MIN(E17,E18)</f>
        <v/>
      </c>
    </row>
    <row r="20">
      <c r="B20" s="2" t="inlineStr">
        <is>
          <t>Elemento limitante (diagnóstico)</t>
        </is>
      </c>
      <c r="E20" s="25">
        <f>IF(E17&lt;=E18,"Componente base (no cap)","Tope 20a+ (cap aplicado)")</f>
        <v/>
      </c>
    </row>
    <row r="22">
      <c r="B22" s="5" t="inlineStr">
        <is>
          <t>RECALCULO_PYTHON (segunda comprobación independiente)</t>
        </is>
      </c>
    </row>
    <row r="23">
      <c r="B23" s="2" t="inlineStr">
        <is>
          <t>Componente base (Python)</t>
        </is>
      </c>
      <c r="E23" s="15" t="n">
        <v>0.01645</v>
      </c>
    </row>
    <row r="24">
      <c r="B24" s="2" t="inlineStr">
        <is>
          <t>Tope cap (Python)</t>
        </is>
      </c>
      <c r="E24" s="15" t="n">
        <v>0.0186</v>
      </c>
    </row>
    <row r="25">
      <c r="B25" s="2" t="inlineStr">
        <is>
          <t>Tipo DGS aplicable (Python)</t>
        </is>
      </c>
      <c r="E25" s="15" t="n">
        <v>0.01645</v>
      </c>
    </row>
    <row r="27">
      <c r="B27" s="5" t="inlineStr">
        <is>
          <t>CHECKS</t>
        </is>
      </c>
    </row>
    <row r="28">
      <c r="B28" s="2" t="inlineStr">
        <is>
          <t>Check: Excel == Python (diferencia ≈0)</t>
        </is>
      </c>
      <c r="E28" s="26">
        <f>E19-E25</f>
        <v/>
      </c>
    </row>
    <row r="30">
      <c r="B30" s="14" t="inlineStr">
        <is>
          <t>[RD 2486/1998, art. 33.1.a.1º] — Ejemplo hipotético exclusivamente didáctico. Valores reales publicados anualmente por la DGSFP.</t>
        </is>
      </c>
    </row>
  </sheetData>
  <mergeCells count="7">
    <mergeCell ref="B3:G3"/>
    <mergeCell ref="B16:G16"/>
    <mergeCell ref="B10:G10"/>
    <mergeCell ref="A1:G1"/>
    <mergeCell ref="B22:G22"/>
    <mergeCell ref="B27:G27"/>
    <mergeCell ref="B4:G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 customWidth="1" min="1" max="1"/>
    <col width="42" customWidth="1" min="2" max="2"/>
    <col width="18" customWidth="1" min="3" max="3"/>
    <col width="45" customWidth="1" min="4" max="4"/>
    <col width="16" customWidth="1" min="5" max="5"/>
    <col width="16" customWidth="1" min="6" max="6"/>
    <col width="16" customWidth="1" min="7" max="7"/>
  </cols>
  <sheetData>
    <row r="1" ht="22" customHeight="1">
      <c r="A1" s="1" t="inlineStr">
        <is>
          <t>05. SemiMatching — Comparación de duraciones cobro vs. pago [Art. 33.1.a.2º]</t>
        </is>
      </c>
    </row>
    <row r="3">
      <c r="B3" s="5" t="inlineStr">
        <is>
          <t>NORMA vs HIPÓTESIS</t>
        </is>
      </c>
    </row>
    <row r="4" ht="18" customHeight="1">
      <c r="B4" s="4" t="inlineStr">
        <is>
          <t>"...siempre que la duración financiera estimada al tipo de interés de mercado de los cobros específicamente asignados a los contratos, resulte superior o igual a la duración financiera de los pagos... Si no se cumpliera esta condición, el tipo de interés máximo aplicable... correspondiente al periodo que excede... será el previsto en el párrafo 1º anterior." [RD 2486/1998, art. 33.1.a.2º]. Se presentan 2 casos: A) SIN gap (Dc≥Dp) y B) CON gap (Dc&lt;Dp).</t>
        </is>
      </c>
    </row>
    <row r="5" ht="18" customHeight="1"/>
    <row r="6" ht="18" customHeight="1"/>
    <row r="7" ht="18" customHeight="1"/>
    <row r="9">
      <c r="B9" s="5" t="inlineStr">
        <is>
          <t>INPUTS — CASO A (sin gap, Dc≥Dp)</t>
        </is>
      </c>
    </row>
    <row r="10">
      <c r="B10" s="2" t="inlineStr">
        <is>
          <t>Capital/flujo C (€)</t>
        </is>
      </c>
      <c r="C10" s="16" t="n">
        <v>100000</v>
      </c>
    </row>
    <row r="11">
      <c r="B11" s="2" t="inlineStr">
        <is>
          <t>Duración financiera cobros Dc (años)</t>
        </is>
      </c>
      <c r="C11" s="11" t="n">
        <v>12</v>
      </c>
    </row>
    <row r="12">
      <c r="B12" s="2" t="inlineStr">
        <is>
          <t>Duración financiera pagos Dp (años)</t>
        </is>
      </c>
      <c r="C12" s="11" t="n">
        <v>10</v>
      </c>
    </row>
    <row r="13">
      <c r="B13" s="2" t="inlineStr">
        <is>
          <t>Tipo DGS año origen i0 (%)</t>
        </is>
      </c>
      <c r="C13" s="12" t="n">
        <v>0.0183</v>
      </c>
    </row>
    <row r="14">
      <c r="B14" s="2" t="inlineStr">
        <is>
          <t>¿Cumple Dc≥Dp?</t>
        </is>
      </c>
      <c r="C14" s="25">
        <f>IF(C11&gt;=C12,"SÍ (tramo único)","NO (dos tramos)")</f>
        <v/>
      </c>
    </row>
    <row r="15">
      <c r="B15" s="2" t="inlineStr">
        <is>
          <t>VA = C / (1+i0)^Dp</t>
        </is>
      </c>
      <c r="C15" s="27">
        <f>C10/(1+C13)^C12</f>
        <v/>
      </c>
    </row>
    <row r="16">
      <c r="B16" s="2" t="inlineStr">
        <is>
          <t>Recalculo_Python VA (Caso A)</t>
        </is>
      </c>
      <c r="C16" s="19" t="n">
        <v>83414.69426169855</v>
      </c>
    </row>
    <row r="17">
      <c r="B17" s="2" t="inlineStr">
        <is>
          <t>Check (Excel-Python≈0)</t>
        </is>
      </c>
      <c r="C17" s="20">
        <f>C15-C16</f>
        <v/>
      </c>
    </row>
    <row r="19">
      <c r="B19" s="5" t="inlineStr">
        <is>
          <t>INPUTS — CASO B (con gap, Dc&lt;Dp)</t>
        </is>
      </c>
    </row>
    <row r="20">
      <c r="B20" s="2" t="inlineStr">
        <is>
          <t>Capital/flujo C (€)</t>
        </is>
      </c>
      <c r="C20" s="16" t="n">
        <v>100000</v>
      </c>
    </row>
    <row r="21">
      <c r="B21" s="2" t="inlineStr">
        <is>
          <t>Duración financiera cobros Dc (años)</t>
        </is>
      </c>
      <c r="C21" s="11" t="n">
        <v>6</v>
      </c>
    </row>
    <row r="22">
      <c r="B22" s="2" t="inlineStr">
        <is>
          <t>Duración financiera pagos Dp (años)</t>
        </is>
      </c>
      <c r="C22" s="11" t="n">
        <v>10</v>
      </c>
    </row>
    <row r="23">
      <c r="B23" s="2" t="inlineStr">
        <is>
          <t>Tipo DGS año origen i0 (%) — Tramo 1 [0,Dc]</t>
        </is>
      </c>
      <c r="C23" s="12" t="n">
        <v>0.0183</v>
      </c>
    </row>
    <row r="24">
      <c r="B24" s="2" t="inlineStr">
        <is>
          <t>Tipo DGS vigente i1 (%) — Tramo 2 [Dc,Dp]</t>
        </is>
      </c>
      <c r="C24" s="12" t="n">
        <v>0.0295</v>
      </c>
    </row>
    <row r="25">
      <c r="B25" s="2" t="inlineStr">
        <is>
          <t>¿Cumple Dc≥Dp?</t>
        </is>
      </c>
      <c r="C25" s="25">
        <f>IF(C21&gt;=C22,"SÍ (tramo único)","NO (dos tramos)")</f>
        <v/>
      </c>
    </row>
    <row r="26">
      <c r="B26" s="2" t="inlineStr">
        <is>
          <t>VA = C / [(1+i0)^Dc × (1+i1)^(Dp-Dc)]</t>
        </is>
      </c>
      <c r="C26" s="27">
        <f>C20/((1+C23)^C21*(1+C24)^(C22-C21))</f>
        <v/>
      </c>
    </row>
    <row r="27">
      <c r="B27" s="2" t="inlineStr">
        <is>
          <t>Recalculo_Python VA (Caso B)</t>
        </is>
      </c>
      <c r="C27" s="19" t="n">
        <v>79843.60428802692</v>
      </c>
    </row>
    <row r="28">
      <c r="B28" s="2" t="inlineStr">
        <is>
          <t>Check (Excel-Python≈0)</t>
        </is>
      </c>
      <c r="C28" s="20">
        <f>C26-C27</f>
        <v/>
      </c>
    </row>
    <row r="29">
      <c r="B29" s="2" t="inlineStr">
        <is>
          <t>VA referencia SIN gap (todo a i0, para medir impacto)</t>
        </is>
      </c>
      <c r="C29" s="18">
        <f>C20/(1+C23)^C22</f>
        <v/>
      </c>
    </row>
    <row r="30">
      <c r="B30" s="2" t="inlineStr">
        <is>
          <t>Impacto del gap sobre la PM (€)</t>
        </is>
      </c>
      <c r="C30" s="18">
        <f>C26-C29</f>
        <v/>
      </c>
    </row>
    <row r="32">
      <c r="B32" s="5" t="inlineStr">
        <is>
          <t>RESULTADO E INTERPRETACIÓN ACTUARIAL</t>
        </is>
      </c>
    </row>
    <row r="33" ht="45" customHeight="1">
      <c r="B33" s="24" t="inlineStr">
        <is>
          <t>Caso A (sin gap): se aplica i0 a todo el horizonte → menor tipo efectivo (más conservador si i1&gt;i0). Caso B (con gap): se combina i0 (tramo corto) con i1 (tramo largo, tipo vigente) → si i1&gt;i0, el tipo efectivo medio sube y la PM es MENOR que en el escenario de referencia sin gap. Riesgo ALM: crítico verificar el punto de corte.</t>
        </is>
      </c>
    </row>
    <row r="36">
      <c r="B36" s="5" t="inlineStr">
        <is>
          <t>CHECKS</t>
        </is>
      </c>
    </row>
    <row r="37">
      <c r="B37" s="3" t="inlineStr">
        <is>
          <t>Check 1: Ambos checks Excel-Python deben ser ≈0.</t>
        </is>
      </c>
    </row>
    <row r="38">
      <c r="B38" s="3" t="inlineStr">
        <is>
          <t>Check 2: Si i1&gt;i0, VA(con gap) &lt; VA(referencia sin gap) [Impacto negativo = reducción de PM].</t>
        </is>
      </c>
    </row>
    <row r="40">
      <c r="B40" s="14" t="inlineStr">
        <is>
          <t>[RD 2486/1998, art. 33.1.a.2º] — Ejemplo hipotético exclusivamente didáctico.</t>
        </is>
      </c>
    </row>
  </sheetData>
  <mergeCells count="8">
    <mergeCell ref="B3:G3"/>
    <mergeCell ref="B19:G19"/>
    <mergeCell ref="A1:G1"/>
    <mergeCell ref="B36:G36"/>
    <mergeCell ref="B9:G9"/>
    <mergeCell ref="B32:G32"/>
    <mergeCell ref="B4:G7"/>
    <mergeCell ref="B33:G3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 customWidth="1" min="1" max="1"/>
    <col width="42" customWidth="1" min="2" max="2"/>
    <col width="18" customWidth="1" min="3" max="3"/>
    <col width="45" customWidth="1" min="4" max="4"/>
    <col width="16" customWidth="1" min="5" max="5"/>
    <col width="16" customWidth="1" min="6" max="6"/>
    <col width="16" customWidth="1" min="7" max="7"/>
  </cols>
  <sheetData>
    <row r="1" ht="22" customHeight="1">
      <c r="A1" s="1" t="inlineStr">
        <is>
          <t>06. NoEuro — Régimen espejo en moneda distinta al euro [Art. 33.1.b]</t>
        </is>
      </c>
    </row>
    <row r="3">
      <c r="B3" s="5" t="inlineStr">
        <is>
          <t>NORMA vs HIPÓTESIS</t>
        </is>
      </c>
    </row>
    <row r="4" ht="18" customHeight="1">
      <c r="B4" s="4" t="inlineStr">
        <is>
          <t>Art. 33.1.b) aplica idéntica estructura que 33.1.a) (Tipo DGS 1º / Semi-matching 2º) pero referida a la deuda pública y curva swap del "respectivo Estado" emisor de la divisa. Hipótesis: póliza en USD, usando deuda pública US y curva swap USD (valores ilustrativos, NO oficiales).</t>
        </is>
      </c>
    </row>
    <row r="5" ht="18" customHeight="1"/>
    <row r="6" ht="18" customHeight="1"/>
    <row r="7" ht="18" customHeight="1"/>
    <row r="9">
      <c r="B9" s="5" t="inlineStr">
        <is>
          <t>INPUTS (ejemplo hipotético en USD)</t>
        </is>
      </c>
    </row>
    <row r="10">
      <c r="B10" s="2" t="inlineStr">
        <is>
          <t>Moneda del contrato</t>
        </is>
      </c>
      <c r="C10" s="11" t="inlineStr">
        <is>
          <t>USD</t>
        </is>
      </c>
    </row>
    <row r="11">
      <c r="B11" s="2" t="inlineStr">
        <is>
          <t>i medio deuda pública US general (%)</t>
        </is>
      </c>
      <c r="C11" s="12" t="n">
        <v>0.041</v>
      </c>
    </row>
    <row r="12">
      <c r="B12" s="2" t="inlineStr">
        <is>
          <t>Tipo DGS-equivalente publicado ejerc. anterior (%)</t>
        </is>
      </c>
      <c r="C12" s="12" t="n">
        <v>0.025</v>
      </c>
    </row>
    <row r="13">
      <c r="B13" s="2" t="inlineStr">
        <is>
          <t>Tipo curva swap USD 11a, 31-dic ejerc. anterior (%)</t>
        </is>
      </c>
      <c r="C13" s="12" t="n">
        <v>0.032</v>
      </c>
    </row>
    <row r="14">
      <c r="B14" s="2" t="inlineStr">
        <is>
          <t>i medio deuda pública US 20a+ (%)</t>
        </is>
      </c>
      <c r="C14" s="12" t="n">
        <v>0.0395</v>
      </c>
    </row>
    <row r="16">
      <c r="B16" s="5" t="inlineStr">
        <is>
          <t>CÁLCULO PASO A PASO (espejo del Tipo DGS)</t>
        </is>
      </c>
    </row>
    <row r="17">
      <c r="B17" s="3" t="inlineStr">
        <is>
          <t>Componente base = 0,60×i_DP_US_general + 0,50×(i_pub(t-1) − r_swapUSD_11a)</t>
        </is>
      </c>
      <c r="E17" s="23">
        <f>0.6*C11+0.5*(C12-C13)</f>
        <v/>
      </c>
    </row>
    <row r="18">
      <c r="B18" s="3" t="inlineStr">
        <is>
          <t>Tope (cap) = 0,60×i_DP_US_20a+</t>
        </is>
      </c>
      <c r="E18" s="23">
        <f>0.6*C14</f>
        <v/>
      </c>
    </row>
    <row r="19">
      <c r="B19" s="3" t="inlineStr">
        <is>
          <t>Tipo aplicable = MÍN(base, cap)</t>
        </is>
      </c>
      <c r="E19" s="13">
        <f>MIN(E17,E18)</f>
        <v/>
      </c>
    </row>
    <row r="21">
      <c r="B21" s="5" t="inlineStr">
        <is>
          <t>RECALCULO_PYTHON</t>
        </is>
      </c>
    </row>
    <row r="22">
      <c r="B22" s="2" t="inlineStr">
        <is>
          <t>Componente base (Python)</t>
        </is>
      </c>
      <c r="E22" s="15" t="n">
        <v>0.0211</v>
      </c>
    </row>
    <row r="23">
      <c r="B23" s="2" t="inlineStr">
        <is>
          <t>Tope cap (Python)</t>
        </is>
      </c>
      <c r="E23" s="15" t="n">
        <v>0.0237</v>
      </c>
    </row>
    <row r="24">
      <c r="B24" s="2" t="inlineStr">
        <is>
          <t>Tipo aplicable (Python)</t>
        </is>
      </c>
      <c r="E24" s="15" t="n">
        <v>0.0211</v>
      </c>
    </row>
    <row r="25">
      <c r="B25" s="2" t="inlineStr">
        <is>
          <t>Check (Excel-Python≈0)</t>
        </is>
      </c>
      <c r="E25" s="26">
        <f>E19-E24</f>
        <v/>
      </c>
    </row>
    <row r="27">
      <c r="B27" s="5" t="inlineStr">
        <is>
          <t>RESULTADO E INTERPRETACIÓN</t>
        </is>
      </c>
    </row>
    <row r="28" ht="40" customHeight="1">
      <c r="B28" s="24" t="inlineStr">
        <is>
          <t>El tipo resultante para la póliza en USD se rige por la deuda pública y curva swap DEL ESTADO EMISOR de la divisa, NO por referencias españolas/euro. Riesgo adicional: disponibilidad y fiabilidad de las fuentes de mercado en la divisa correspondiente; debe documentarse en la base técnica el origen de cada input.</t>
        </is>
      </c>
    </row>
    <row r="31">
      <c r="B31" s="14" t="inlineStr">
        <is>
          <t>[RD 2486/1998, art. 33.1.b] — Ejemplo hipotético exclusivamente didáctico. Valores USD ilustrativos, no oficiales.</t>
        </is>
      </c>
    </row>
  </sheetData>
  <mergeCells count="8">
    <mergeCell ref="B3:G3"/>
    <mergeCell ref="B16:G16"/>
    <mergeCell ref="A1:G1"/>
    <mergeCell ref="B28:G28"/>
    <mergeCell ref="B9:G9"/>
    <mergeCell ref="B27:G27"/>
    <mergeCell ref="B21:G21"/>
    <mergeCell ref="B4:G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 customWidth="1" min="1" max="1"/>
    <col width="42" customWidth="1" min="2" max="2"/>
    <col width="18" customWidth="1" min="3" max="3"/>
    <col width="45" customWidth="1" min="4" max="4"/>
    <col width="16" customWidth="1" min="5" max="5"/>
    <col width="16" customWidth="1" min="6" max="6"/>
    <col width="16" customWidth="1" min="7" max="7"/>
  </cols>
  <sheetData>
    <row r="1" ht="22" customHeight="1">
      <c r="A1" s="1" t="inlineStr">
        <is>
          <t>07. Garantia_1y — Tipo garantizado fijado a periodo ≤1 año [Art. 33.1.c]</t>
        </is>
      </c>
    </row>
    <row r="3">
      <c r="B3" s="5" t="inlineStr">
        <is>
          <t>NORMA vs HIPÓTESIS</t>
        </is>
      </c>
    </row>
    <row r="4" ht="18" customHeight="1">
      <c r="B4" s="4" t="inlineStr">
        <is>
          <t>"En los seguros en los que el tipo de interés garantizado haya sido fijado para un periodo no superior al año, al tipo de interés garantizado en cada periodo." [RD 2486/1998, art. 33.1.c]. Hipótesis: PPA con tipo revisable trimestralmente ("precomunicado"), se evalúan 4 trimestres de un ejercicio.</t>
        </is>
      </c>
    </row>
    <row r="5" ht="18" customHeight="1"/>
    <row r="6" ht="18" customHeight="1"/>
    <row r="7" ht="18" customHeight="1"/>
    <row r="9">
      <c r="B9" s="5" t="inlineStr">
        <is>
          <t>INPUTS</t>
        </is>
      </c>
    </row>
    <row r="10">
      <c r="B10" s="2" t="inlineStr">
        <is>
          <t>Capital garantizado C (€)</t>
        </is>
      </c>
      <c r="C10" s="16" t="n">
        <v>50000</v>
      </c>
    </row>
    <row r="11">
      <c r="B11" s="2" t="inlineStr">
        <is>
          <t>Tipo mínimo garantizado (suelo contractual) (%)</t>
        </is>
      </c>
      <c r="C11" s="12" t="n">
        <v>0.015</v>
      </c>
    </row>
    <row r="13">
      <c r="B13" s="6" t="inlineStr">
        <is>
          <t>Trimestre</t>
        </is>
      </c>
      <c r="C13" s="6" t="inlineStr">
        <is>
          <t>Tipo precomunicado garantizado (%)</t>
        </is>
      </c>
      <c r="D13" s="6" t="inlineStr">
        <is>
          <t>¿Suelo &gt; Tipo DGS vigente?</t>
        </is>
      </c>
      <c r="E13" s="6" t="inlineStr">
        <is>
          <t>Tipo aplicable final (%)</t>
        </is>
      </c>
      <c r="F13" s="6" t="inlineStr">
        <is>
          <t>Recalculo_Python</t>
        </is>
      </c>
    </row>
    <row r="14">
      <c r="B14" s="3" t="inlineStr">
        <is>
          <t>Q1</t>
        </is>
      </c>
      <c r="C14" s="12" t="n">
        <v>0.018</v>
      </c>
      <c r="D14" s="25">
        <f>IF($C$11&gt;C14,"SÍ — riesgo: no reclasificable a 33.1.c","No")</f>
        <v/>
      </c>
      <c r="E14" s="23">
        <f>MAX(C14,$C$11)</f>
        <v/>
      </c>
      <c r="F14" s="15" t="n">
        <v>0.018</v>
      </c>
    </row>
    <row r="15">
      <c r="B15" s="3" t="inlineStr">
        <is>
          <t>Q2</t>
        </is>
      </c>
      <c r="C15" s="12" t="n">
        <v>0.0195</v>
      </c>
      <c r="D15" s="25">
        <f>IF($C$11&gt;C15,"SÍ — riesgo: no reclasificable a 33.1.c","No")</f>
        <v/>
      </c>
      <c r="E15" s="23">
        <f>MAX(C15,$C$11)</f>
        <v/>
      </c>
      <c r="F15" s="15" t="n">
        <v>0.0195</v>
      </c>
    </row>
    <row r="16">
      <c r="B16" s="3" t="inlineStr">
        <is>
          <t>Q3</t>
        </is>
      </c>
      <c r="C16" s="12" t="n">
        <v>0.021</v>
      </c>
      <c r="D16" s="25">
        <f>IF($C$11&gt;C16,"SÍ — riesgo: no reclasificable a 33.1.c","No")</f>
        <v/>
      </c>
      <c r="E16" s="23">
        <f>MAX(C16,$C$11)</f>
        <v/>
      </c>
      <c r="F16" s="15" t="n">
        <v>0.021</v>
      </c>
    </row>
    <row r="17">
      <c r="B17" s="3" t="inlineStr">
        <is>
          <t>Q4</t>
        </is>
      </c>
      <c r="C17" s="12" t="n">
        <v>0.0225</v>
      </c>
      <c r="D17" s="25">
        <f>IF($C$11&gt;C17,"SÍ — riesgo: no reclasificable a 33.1.c","No")</f>
        <v/>
      </c>
      <c r="E17" s="23">
        <f>MAX(C17,$C$11)</f>
        <v/>
      </c>
      <c r="F17" s="15" t="n">
        <v>0.0225</v>
      </c>
    </row>
    <row r="19">
      <c r="B19" s="5" t="inlineStr">
        <is>
          <t>RESULTADO E INTERPRETACIÓN</t>
        </is>
      </c>
    </row>
    <row r="20" ht="40" customHeight="1">
      <c r="B20" s="24" t="inlineStr">
        <is>
          <t>El tipo aplicable en cada trimestre es directamente el tipo garantizado precomunicado de ese periodo (no requiere fórmula DGS). Riesgo principal: si el suelo contractual llegara a superar el Tipo DGS vigente, la póliza en la práctica NO podría seguir tratándose como 33.1.c y debería recalificarse como 33.1.a.</t>
        </is>
      </c>
    </row>
    <row r="23">
      <c r="B23" s="5" t="inlineStr">
        <is>
          <t>CHECKS</t>
        </is>
      </c>
    </row>
    <row r="24">
      <c r="B24" s="3" t="inlineStr">
        <is>
          <t>Check: Recalculo_Python debe coincidir con columna 'Tipo aplicable final' en las 4 filas.</t>
        </is>
      </c>
    </row>
    <row r="26">
      <c r="B26" s="14" t="inlineStr">
        <is>
          <t>[RD 2486/1998, art. 33.1.c] — Ejemplo hipotético exclusivamente didáctico.</t>
        </is>
      </c>
    </row>
  </sheetData>
  <mergeCells count="7">
    <mergeCell ref="B3:G3"/>
    <mergeCell ref="B19:G19"/>
    <mergeCell ref="B20:G20"/>
    <mergeCell ref="A1:G1"/>
    <mergeCell ref="B23:G23"/>
    <mergeCell ref="B9:G9"/>
    <mergeCell ref="B4:G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 customWidth="1" min="1" max="1"/>
    <col width="42" customWidth="1" min="2" max="2"/>
    <col width="18" customWidth="1" min="3" max="3"/>
    <col width="45" customWidth="1" min="4" max="4"/>
    <col width="16" customWidth="1" min="5" max="5"/>
    <col width="16" customWidth="1" min="6" max="6"/>
    <col width="16" customWidth="1" min="7" max="7"/>
  </cols>
  <sheetData>
    <row r="1" ht="22" customHeight="1">
      <c r="A1" s="1" t="inlineStr">
        <is>
          <t>08. CF_Matching — Inmunización por coincidencia de flujos [Art. 33.2.a]</t>
        </is>
      </c>
    </row>
    <row r="3">
      <c r="B3" s="5" t="inlineStr">
        <is>
          <t>NORMA vs HIPÓTESIS</t>
        </is>
      </c>
    </row>
    <row r="4" ht="18" customHeight="1">
      <c r="B4" s="4" t="inlineStr">
        <is>
          <t>"...podrán determinar la provisión de seguros de vida por aplicación de un tipo de interés determinado en función de la tasa interna de rentabilidad de dichas inversiones... a) Que exista coincidencia suficiente, en tiempo y cuantía, de los flujos de cobro..." [RD 2486/1998, art. 33.2.a]. Riesgo regulatorio ALTO; requiere verificación trimestral (OM 20-feb-2007, mod. ECC 335/2012 y ECC 2150/2012). Hipótesis: cartera de bonos con TIR=3,45%.</t>
        </is>
      </c>
    </row>
    <row r="5" ht="18" customHeight="1"/>
    <row r="6" ht="18" customHeight="1"/>
    <row r="7" ht="18" customHeight="1"/>
    <row r="8" ht="18" customHeight="1"/>
    <row r="10">
      <c r="B10" s="5" t="inlineStr">
        <is>
          <t>INPUTS</t>
        </is>
      </c>
    </row>
    <row r="11">
      <c r="B11" s="2" t="inlineStr">
        <is>
          <t>TIR de las inversiones asignadas (%)</t>
        </is>
      </c>
      <c r="C11" s="12" t="n">
        <v>0.0345</v>
      </c>
    </row>
    <row r="12">
      <c r="B12" s="2" t="inlineStr">
        <is>
          <t>¿Cumple requisitos OM 20-feb-2007 en Q3?</t>
        </is>
      </c>
      <c r="C12" s="11" t="inlineStr">
        <is>
          <t>Sí</t>
        </is>
      </c>
    </row>
    <row r="13">
      <c r="B13" s="2" t="inlineStr">
        <is>
          <t>¿Cumple requisitos OM 20-feb-2007 en Q4?</t>
        </is>
      </c>
      <c r="C13" s="11" t="inlineStr">
        <is>
          <t>Sí</t>
        </is>
      </c>
    </row>
    <row r="14">
      <c r="B14" s="2" t="inlineStr">
        <is>
          <t>¿Incumple 2 trimestres consecutivos? (diagnóstico)</t>
        </is>
      </c>
      <c r="C14" s="25">
        <f>IF(AND(C12="No",C13="No"),"SÍ — Fallback 33.4","No — se mantiene 33.2")</f>
        <v/>
      </c>
    </row>
    <row r="16">
      <c r="B16" s="5" t="inlineStr">
        <is>
          <t>CÁLCULO</t>
        </is>
      </c>
    </row>
    <row r="17">
      <c r="B17" s="2" t="inlineStr">
        <is>
          <t>Tipo aplicable (si NO incumple)</t>
        </is>
      </c>
      <c r="C17" s="25">
        <f>IF(C14="No — se mantiene 33.2",C11,"VER HOJA Fallback_33_4")</f>
        <v/>
      </c>
    </row>
    <row r="19">
      <c r="B19" s="5" t="inlineStr">
        <is>
          <t>RECALCULO_PYTHON</t>
        </is>
      </c>
    </row>
    <row r="20">
      <c r="B20" s="2" t="inlineStr">
        <is>
          <t>¿Incumple? (Python)</t>
        </is>
      </c>
      <c r="C20" s="28" t="b">
        <v>0</v>
      </c>
    </row>
    <row r="21">
      <c r="B21" s="2" t="inlineStr">
        <is>
          <t>Tipo aplicable (Python)</t>
        </is>
      </c>
      <c r="C21" s="15" t="n">
        <v>0.0345</v>
      </c>
    </row>
    <row r="23">
      <c r="B23" s="5" t="inlineStr">
        <is>
          <t>RESULTADO E INTERPRETACIÓN ACTUARIAL</t>
        </is>
      </c>
    </row>
    <row r="24" ht="55" customHeight="1">
      <c r="B24" s="24" t="inlineStr">
        <is>
          <t>Riesgo Regulatorio: ALTO (foco DGSFP, requisitos taxativos). Riesgo ALM: ALTO. Pruebas específicas requeridas: (i) verificación de requisitos para Q3; (ii) revisión mediante controles en Q4; (iii) verificación de aptitud de activos (OM 20-feb-2007); (iv) verificación de flujos de activo y de pasivo. Si incumple 2 trimestres seguidos, la dotación al pasar a 33.1 puede ser MUY SIGNIFICATIVA.</t>
        </is>
      </c>
    </row>
    <row r="27">
      <c r="B27" s="14" t="inlineStr">
        <is>
          <t>[RD 2486/1998, art. 33.2.a] · [OM 20-feb-2007, mod. ECC 335/2012 y ECC 2150/2012] — Ejemplo hipotético didáctico.</t>
        </is>
      </c>
    </row>
  </sheetData>
  <mergeCells count="8">
    <mergeCell ref="B3:G3"/>
    <mergeCell ref="B16:G16"/>
    <mergeCell ref="B19:G19"/>
    <mergeCell ref="B24:G24"/>
    <mergeCell ref="B10:G10"/>
    <mergeCell ref="A1:G1"/>
    <mergeCell ref="B23:G23"/>
    <mergeCell ref="B4:G8"/>
  </mergeCells>
  <dataValidations count="1">
    <dataValidation sqref="C12 C13" showDropDown="0" showInputMessage="0" showErrorMessage="0" allowBlank="0" type="list">
      <formula1>"Sí,No"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 customWidth="1" min="1" max="1"/>
    <col width="42" customWidth="1" min="2" max="2"/>
    <col width="18" customWidth="1" min="3" max="3"/>
    <col width="45" customWidth="1" min="4" max="4"/>
    <col width="16" customWidth="1" min="5" max="5"/>
    <col width="16" customWidth="1" min="6" max="6"/>
    <col width="16" customWidth="1" min="7" max="7"/>
  </cols>
  <sheetData>
    <row r="1" ht="22" customHeight="1">
      <c r="A1" s="1" t="inlineStr">
        <is>
          <t>09. Dur_Matching — Inmunización por relación de valores actuales [Art. 33.2.b + Tope 33.3]</t>
        </is>
      </c>
    </row>
    <row r="3">
      <c r="B3" s="5" t="inlineStr">
        <is>
          <t>NORMA vs HIPÓTESIS</t>
        </is>
      </c>
    </row>
    <row r="4" ht="18" customHeight="1">
      <c r="B4" s="4" t="inlineStr">
        <is>
          <t>"...b) Que las relaciones entre los valores actuales de las inversiones y de las obligaciones... estén dentro de los márgenes establecidos al efecto." [Art. 33.2.b]. Adicionalmente, art. 33.3: "En seguros con participación en beneficios y en aquéllos en los que la PM se haya determinado de acuerdo con... el párrafo b) del apartado 2..., esta provisión no podrá calcularse a un tipo de interés superior al utilizado para el cálculo de la prima."</t>
        </is>
      </c>
    </row>
    <row r="5" ht="18" customHeight="1"/>
    <row r="6" ht="18" customHeight="1"/>
    <row r="7" ht="18" customHeight="1"/>
    <row r="8" ht="18" customHeight="1"/>
    <row r="10">
      <c r="B10" s="5" t="inlineStr">
        <is>
          <t>INPUTS</t>
        </is>
      </c>
    </row>
    <row r="11">
      <c r="B11" s="2" t="inlineStr">
        <is>
          <t>TIR de las inversiones asignadas (%)</t>
        </is>
      </c>
      <c r="C11" s="12" t="n">
        <v>0.0345</v>
      </c>
    </row>
    <row r="12">
      <c r="B12" s="2" t="inlineStr">
        <is>
          <t>Tipo usado en el cálculo de la PRIMA (%)</t>
        </is>
      </c>
      <c r="C12" s="12" t="n">
        <v>0.03</v>
      </c>
    </row>
    <row r="13">
      <c r="B13" s="2" t="inlineStr">
        <is>
          <t>¿Aplica tope 33.3? (33.2.b siempre lo activa)</t>
        </is>
      </c>
      <c r="C13" s="11" t="inlineStr">
        <is>
          <t>Sí</t>
        </is>
      </c>
    </row>
    <row r="15">
      <c r="B15" s="5" t="inlineStr">
        <is>
          <t>CÁLCULO PASO A PASO</t>
        </is>
      </c>
    </row>
    <row r="16">
      <c r="B16" s="2" t="inlineStr">
        <is>
          <t>Tipo aplicable = MÍN(TIR, tipo prima) si aplica tope</t>
        </is>
      </c>
      <c r="C16" s="23">
        <f>IF(C13="Sí",MIN(C11,C12),C11)</f>
        <v/>
      </c>
    </row>
    <row r="18">
      <c r="B18" s="5" t="inlineStr">
        <is>
          <t>RECALCULO_PYTHON</t>
        </is>
      </c>
    </row>
    <row r="19">
      <c r="B19" s="2" t="inlineStr">
        <is>
          <t>Tipo aplicable (Python)</t>
        </is>
      </c>
      <c r="C19" s="15" t="n">
        <v>0.03</v>
      </c>
    </row>
    <row r="20">
      <c r="B20" s="2" t="inlineStr">
        <is>
          <t>Check (Excel-Python≈0)</t>
        </is>
      </c>
      <c r="C20" s="26">
        <f>C16-C19</f>
        <v/>
      </c>
    </row>
    <row r="22">
      <c r="B22" s="5" t="inlineStr">
        <is>
          <t>RESULTADO E INTERPRETACIÓN</t>
        </is>
      </c>
    </row>
    <row r="23" ht="45" customHeight="1">
      <c r="B23" s="24" t="inlineStr">
        <is>
          <t>El tope del art. 33.3 es OBLIGATORIO siempre que la PM se determine según 33.2.b (Duration Matching), independientemente de si existe o no PB. Efecto: aunque la TIR de inversiones sea superior, la PM nunca podrá calcularse por debajo del nivel que resultaría de aplicar el tipo de la prima (evita anticipar beneficios financieros no consolidados). Riesgo Regulatorio y ALM: ALTO, igual que en CFM.</t>
        </is>
      </c>
    </row>
    <row r="26">
      <c r="B26" s="14" t="inlineStr">
        <is>
          <t>[RD 2486/1998, art. 33.2.b y 33.3] — Ejemplo hipotético exclusivamente didáctico.</t>
        </is>
      </c>
    </row>
  </sheetData>
  <mergeCells count="8">
    <mergeCell ref="B3:G3"/>
    <mergeCell ref="B10:G10"/>
    <mergeCell ref="A1:G1"/>
    <mergeCell ref="B22:G22"/>
    <mergeCell ref="B23:G23"/>
    <mergeCell ref="B18:G18"/>
    <mergeCell ref="B15:G15"/>
    <mergeCell ref="B4:G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 customWidth="1" min="1" max="1"/>
    <col width="45" customWidth="1" min="2" max="2"/>
    <col width="18" customWidth="1" min="3" max="3"/>
    <col width="45" customWidth="1" min="4" max="4"/>
    <col width="16" customWidth="1" min="5" max="5"/>
    <col width="16" customWidth="1" min="6" max="6"/>
    <col width="16" customWidth="1" min="7" max="7"/>
  </cols>
  <sheetData>
    <row r="1" ht="22" customHeight="1">
      <c r="A1" s="1" t="inlineStr">
        <is>
          <t>10. Rentabilidad_Real — Cláusula de Rentabilidad Real (RRAC) [Art. 33.1 in fine / DT2ª]</t>
        </is>
      </c>
    </row>
    <row r="3">
      <c r="B3" s="5" t="inlineStr">
        <is>
          <t>NORMA vs HIPÓTESIS</t>
        </is>
      </c>
    </row>
    <row r="4" ht="18" customHeight="1">
      <c r="B4" s="4" t="inlineStr">
        <is>
          <t>"Si la rentabilidad real obtenida en un ejercicio de las inversiones específicamente asignadas... fuera inferior al tipo de interés técnico medio utilizado en operaciones sin la citada asignación específica, la provisión... se calculará aplicando un tipo de interés igual a la rentabilidad realmente obtenida. Lo anterior no resultará de aplicación cuando la entidad haya acreditado previamente ante la DGSFP que el rendimiento a obtener en el ejercicio en curso y sucesivos será suficiente..." [RD 2486/1998, art. 33.1 in fine]. Aplica también a cartera anterior a 1999 vía DT 2ª.</t>
        </is>
      </c>
    </row>
    <row r="5" ht="18" customHeight="1"/>
    <row r="6" ht="18" customHeight="1"/>
    <row r="7" ht="18" customHeight="1"/>
    <row r="8" ht="18" customHeight="1"/>
    <row r="10">
      <c r="B10" s="5" t="inlineStr">
        <is>
          <t>INPUTS</t>
        </is>
      </c>
    </row>
    <row r="11">
      <c r="B11" s="2" t="inlineStr">
        <is>
          <t>Rentabilidad real obtenida en el ejercicio (%)</t>
        </is>
      </c>
      <c r="C11" s="12" t="n">
        <v>0.0165</v>
      </c>
    </row>
    <row r="12">
      <c r="B12" s="2" t="inlineStr">
        <is>
          <t>Tipo técnico medio operaciones sin asignación (%)</t>
        </is>
      </c>
      <c r="C12" s="12" t="n">
        <v>0.021</v>
      </c>
    </row>
    <row r="13">
      <c r="B13" s="2" t="inlineStr">
        <is>
          <t>¿Acreditada suficiencia futura ante DGSFP?</t>
        </is>
      </c>
      <c r="C13" s="11" t="inlineStr">
        <is>
          <t>No</t>
        </is>
      </c>
    </row>
    <row r="15">
      <c r="B15" s="5" t="inlineStr">
        <is>
          <t>CÁLCULO PASO A PASO</t>
        </is>
      </c>
    </row>
    <row r="16">
      <c r="B16" s="2" t="inlineStr">
        <is>
          <t>¿Rentabilidad real &lt; Tipo medio?</t>
        </is>
      </c>
      <c r="C16" s="25">
        <f>IF(C11&lt;C12,"SÍ","No")</f>
        <v/>
      </c>
    </row>
    <row r="17">
      <c r="B17" s="2" t="inlineStr">
        <is>
          <t>¿Aplica cláusula RRAC?</t>
        </is>
      </c>
      <c r="C17" s="25">
        <f>IF(AND(C11&lt;C12,C13="No"),"SÍ — se sustituye el tipo","No — se mantiene tipo medio")</f>
        <v/>
      </c>
    </row>
    <row r="18">
      <c r="B18" s="2" t="inlineStr">
        <is>
          <t>Tipo técnico final a aplicar</t>
        </is>
      </c>
      <c r="C18" s="13">
        <f>IF(AND(C11&lt;C12,C13="No"),C11,C12)</f>
        <v/>
      </c>
    </row>
    <row r="20">
      <c r="B20" s="5" t="inlineStr">
        <is>
          <t>RECALCULO_PYTHON</t>
        </is>
      </c>
    </row>
    <row r="21">
      <c r="B21" s="2" t="inlineStr">
        <is>
          <t>¿Aplica RRAC? (Python)</t>
        </is>
      </c>
      <c r="C21" s="28" t="inlineStr">
        <is>
          <t>SÍ</t>
        </is>
      </c>
    </row>
    <row r="22">
      <c r="B22" s="2" t="inlineStr">
        <is>
          <t>Tipo técnico final (Python)</t>
        </is>
      </c>
      <c r="C22" s="15" t="n">
        <v>0.0165</v>
      </c>
    </row>
    <row r="23">
      <c r="B23" s="2" t="inlineStr">
        <is>
          <t>Check (Excel-Python≈0)</t>
        </is>
      </c>
      <c r="E23" s="26">
        <f>C18-C22</f>
        <v/>
      </c>
    </row>
    <row r="25">
      <c r="B25" s="5" t="inlineStr">
        <is>
          <t>RESULTADO E INTERPRETACIÓN ACTUARIAL</t>
        </is>
      </c>
    </row>
    <row r="26" ht="45" customHeight="1">
      <c r="B26" s="24" t="inlineStr">
        <is>
          <t>Riesgo Regulatorio: ALTO (foco DGSFP; RRAC muy regulada). Impacto potencial MUY RELEVANTE si RRAC es inferior al tipo técnico medio (IMPM) y no existe acreditación previa. Pruebas específicas: revisión de RRAC del ejercicio en curso y revisión prospectiva de RRAC del ejercicio siguiente.</t>
        </is>
      </c>
    </row>
    <row r="29">
      <c r="B29" s="14" t="inlineStr">
        <is>
          <t>[RD 2486/1998, art. 33.1 in fine y DT2ª] — Ejemplo hipotético exclusivamente didáctico.</t>
        </is>
      </c>
    </row>
  </sheetData>
  <mergeCells count="8">
    <mergeCell ref="B3:G3"/>
    <mergeCell ref="B20:G20"/>
    <mergeCell ref="B10:G10"/>
    <mergeCell ref="A1:G1"/>
    <mergeCell ref="B26:G26"/>
    <mergeCell ref="B15:G15"/>
    <mergeCell ref="B4:G8"/>
    <mergeCell ref="B25:G2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4"/>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 customWidth="1" min="1" max="1"/>
    <col width="45" customWidth="1" min="2" max="2"/>
    <col width="18" customWidth="1" min="3" max="3"/>
    <col width="45" customWidth="1" min="4" max="4"/>
    <col width="16" customWidth="1" min="5" max="5"/>
    <col width="16" customWidth="1" min="6" max="6"/>
    <col width="16" customWidth="1" min="7" max="7"/>
  </cols>
  <sheetData>
    <row r="1" ht="22" customHeight="1">
      <c r="A1" s="1" t="inlineStr">
        <is>
          <t>11. Pre1999 — Cartera anterior a la entrada en vigor del ROSSP [DT 2ª]</t>
        </is>
      </c>
    </row>
    <row r="3">
      <c r="B3" s="5" t="inlineStr">
        <is>
          <t>NORMA vs HIPÓTESIS</t>
        </is>
      </c>
    </row>
    <row r="4" ht="18" customHeight="1">
      <c r="B4" s="4" t="inlineStr">
        <is>
          <t>"Los límites establecidos en el número uno del artículo 33... serán de aplicación para los compromisos que se asuman a partir de su entrada en vigor. Para los asumidos con anterioridad... se continuará utilizando... el mismo tipo de interés técnico que haya servido de base para el cálculo de la prima. A tal efecto, si tal tipo de interés supera los límites establecidos en el apartado 1 del artículo 33..., las entidades aseguradoras deberán asignar inversiones a estos contratos..." [DT 2ª ROSSP, apdo. 1]. También aplica DT2ª.4: adaptación en plazo máx. 15 años con dotaciones sistemáticas anuales.</t>
        </is>
      </c>
    </row>
    <row r="5" ht="18" customHeight="1"/>
    <row r="6" ht="18" customHeight="1"/>
    <row r="7" ht="18" customHeight="1"/>
    <row r="8" ht="18" customHeight="1"/>
    <row r="10">
      <c r="B10" s="5" t="inlineStr">
        <is>
          <t>INPUTS</t>
        </is>
      </c>
    </row>
    <row r="11">
      <c r="B11" s="2" t="inlineStr">
        <is>
          <t>Tipo técnico de la prima (histórico, %)</t>
        </is>
      </c>
      <c r="C11" s="12" t="n">
        <v>0.06</v>
      </c>
    </row>
    <row r="12">
      <c r="B12" s="2" t="inlineStr">
        <is>
          <t>Límite máximo art. 33.1 vigente (%) — Tipo DGS actual</t>
        </is>
      </c>
      <c r="C12" s="12" t="n">
        <v>0.0183</v>
      </c>
    </row>
    <row r="13">
      <c r="B13" s="2" t="inlineStr">
        <is>
          <t>PM bajo tipo histórico de la prima (€)</t>
        </is>
      </c>
      <c r="C13" s="16" t="n">
        <v>700000</v>
      </c>
    </row>
    <row r="14">
      <c r="B14" s="2" t="inlineStr">
        <is>
          <t>PM bajo límite art.33.1 vigente (€, referencia)</t>
        </is>
      </c>
      <c r="C14" s="16" t="n">
        <v>950000</v>
      </c>
    </row>
    <row r="15">
      <c r="B15" s="2" t="inlineStr">
        <is>
          <t>Plazo adaptación DT2ª.4 (años, máx. 15)</t>
        </is>
      </c>
      <c r="C15" s="11" t="n">
        <v>15</v>
      </c>
    </row>
    <row r="16">
      <c r="B16" s="2" t="inlineStr">
        <is>
          <t>Años transcurridos desde entrada en vigor (1999)</t>
        </is>
      </c>
      <c r="C16" s="11" t="n">
        <v>27</v>
      </c>
    </row>
    <row r="18">
      <c r="B18" s="5" t="inlineStr">
        <is>
          <t>CÁLCULO PASO A PASO</t>
        </is>
      </c>
    </row>
    <row r="19">
      <c r="B19" s="2" t="inlineStr">
        <is>
          <t>¿Tipo histórico &gt; Límite art.33.1?</t>
        </is>
      </c>
      <c r="C19" s="25">
        <f>IF(C11&gt;C12,"SÍ — requiere asignación de inversiones","No")</f>
        <v/>
      </c>
    </row>
    <row r="20">
      <c r="B20" s="2" t="inlineStr">
        <is>
          <t>Gap de PM a dotar (€) = PM_limite - PM_historica</t>
        </is>
      </c>
      <c r="C20" s="18">
        <f>C14-C13</f>
        <v/>
      </c>
    </row>
    <row r="21">
      <c r="B21" s="2" t="inlineStr">
        <is>
          <t>¿Plazo DT2ª.4 (15a) agotado?</t>
        </is>
      </c>
      <c r="C21" s="25">
        <f>IF(C16&gt;=C15,"SÍ — dotación completa exigible","No — en fase de adaptación")</f>
        <v/>
      </c>
    </row>
    <row r="22">
      <c r="B22" s="2" t="inlineStr">
        <is>
          <t>Dotación sistemática anual (si en fase)</t>
        </is>
      </c>
      <c r="C22" s="18">
        <f>C20/C15</f>
        <v/>
      </c>
    </row>
    <row r="24">
      <c r="B24" s="5" t="inlineStr">
        <is>
          <t>RECALCULO_PYTHON</t>
        </is>
      </c>
    </row>
    <row r="25">
      <c r="B25" s="2" t="inlineStr">
        <is>
          <t>¿Supera límite? (Python)</t>
        </is>
      </c>
      <c r="C25" s="28" t="inlineStr">
        <is>
          <t>SÍ</t>
        </is>
      </c>
    </row>
    <row r="26">
      <c r="B26" s="2" t="inlineStr">
        <is>
          <t>Gap PM (Python)</t>
        </is>
      </c>
      <c r="C26" s="19" t="n">
        <v>250000</v>
      </c>
    </row>
    <row r="27">
      <c r="B27" s="2" t="inlineStr">
        <is>
          <t>¿Plazo agotado? (Python)</t>
        </is>
      </c>
      <c r="C27" s="28" t="inlineStr">
        <is>
          <t>SÍ</t>
        </is>
      </c>
    </row>
    <row r="28">
      <c r="B28" s="2" t="inlineStr">
        <is>
          <t>Dotación anual (Python)</t>
        </is>
      </c>
      <c r="C28" s="19" t="n">
        <v>16666.66666666667</v>
      </c>
    </row>
    <row r="30">
      <c r="B30" s="5" t="inlineStr">
        <is>
          <t>RESULTADO E INTERPRETACIÓN</t>
        </is>
      </c>
    </row>
    <row r="31" ht="45" customHeight="1">
      <c r="B31" s="24" t="inlineStr">
        <is>
          <t>Con 27 años transcurridos desde 1999, el plazo máximo de adaptación de 15 años (DT2ª.4) está AGOTADO: la PM debe estar íntegramente dotada al nivel del límite del art. 33.1 vigente (950.000€), no solo la dotación anual parcial. Adicionalmente, aplica en todo caso la cláusula de Rentabilidad Real (ver hoja Rentabilidad_Real).</t>
        </is>
      </c>
    </row>
    <row r="34">
      <c r="B34" s="14" t="inlineStr">
        <is>
          <t>[RD 2486/1998, DT 2ª, apdos. 1 y 4] — Ejemplo hipotético exclusivamente didáctico.</t>
        </is>
      </c>
    </row>
  </sheetData>
  <mergeCells count="8">
    <mergeCell ref="B3:G3"/>
    <mergeCell ref="B24:G24"/>
    <mergeCell ref="B10:G10"/>
    <mergeCell ref="A1:G1"/>
    <mergeCell ref="B31:G31"/>
    <mergeCell ref="B18:G18"/>
    <mergeCell ref="B30:G30"/>
    <mergeCell ref="B4:G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 customWidth="1" min="1" max="1"/>
    <col width="45" customWidth="1" min="2" max="2"/>
    <col width="18" customWidth="1" min="3" max="3"/>
    <col width="45" customWidth="1" min="4" max="4"/>
    <col width="16" customWidth="1" min="5" max="5"/>
    <col width="16" customWidth="1" min="6" max="6"/>
    <col width="16" customWidth="1" min="7" max="7"/>
  </cols>
  <sheetData>
    <row r="1" ht="22" customHeight="1">
      <c r="A1" s="1" t="inlineStr">
        <is>
          <t>12. Pre2016 — Cartera 1999-2015 SIN migración a ETRLR [Art. 33 clásico]</t>
        </is>
      </c>
    </row>
    <row r="3">
      <c r="B3" s="5" t="inlineStr">
        <is>
          <t>NORMA vs HIPÓTESIS</t>
        </is>
      </c>
    </row>
    <row r="4" ht="18" customHeight="1">
      <c r="B4" s="4" t="inlineStr">
        <is>
          <t>Para contratos celebrados entre 1-1-1999 y 31-12-2015 que NO hayan optado por la DA5ª RD1060/2015, se aplica íntegramente el art. 33 ROSSP (33.1/33.2/33.3/33.4), en los mismos términos que la nueva producción hasta 2015. Esta hoja resume la comparación de resultado bajo los distintos sub-apartados para una misma cartera hipotética.</t>
        </is>
      </c>
    </row>
    <row r="5" ht="18" customHeight="1"/>
    <row r="6" ht="18" customHeight="1"/>
    <row r="7" ht="18" customHeight="1"/>
    <row r="9">
      <c r="B9" s="5" t="inlineStr">
        <is>
          <t>INPUTS — comparación de regímenes para la misma cartera</t>
        </is>
      </c>
    </row>
    <row r="10">
      <c r="B10" s="2" t="inlineStr">
        <is>
          <t>Capital/flujo C (€)</t>
        </is>
      </c>
      <c r="C10" s="16" t="n">
        <v>100000</v>
      </c>
    </row>
    <row r="11">
      <c r="B11" s="2" t="inlineStr">
        <is>
          <t>Plazo t (años)</t>
        </is>
      </c>
      <c r="C11" s="11" t="n">
        <v>10</v>
      </c>
    </row>
    <row r="12">
      <c r="B12" s="2" t="inlineStr">
        <is>
          <t>Tipo DGS aplicable (33.1.a.1) (%)</t>
        </is>
      </c>
      <c r="C12" s="12" t="n">
        <v>0.0183</v>
      </c>
    </row>
    <row r="13">
      <c r="B13" s="2" t="inlineStr">
        <is>
          <t>TIR inmunización (33.2) (%)</t>
        </is>
      </c>
      <c r="C13" s="12" t="n">
        <v>0.0345</v>
      </c>
    </row>
    <row r="15">
      <c r="B15" s="6" t="inlineStr">
        <is>
          <t>Régimen</t>
        </is>
      </c>
      <c r="C15" s="6" t="inlineStr">
        <is>
          <t>Tipo aplicado (%)</t>
        </is>
      </c>
      <c r="D15" s="6" t="inlineStr">
        <is>
          <t>VA=C/(1+i)^t (Excel)</t>
        </is>
      </c>
      <c r="E15" s="6" t="inlineStr">
        <is>
          <t>Recalculo_Python</t>
        </is>
      </c>
    </row>
    <row r="16">
      <c r="B16" s="3" t="inlineStr">
        <is>
          <t>33.1.a.1 (Tipo DGS)</t>
        </is>
      </c>
      <c r="C16" s="23">
        <f>$C$12</f>
        <v/>
      </c>
      <c r="D16" s="18">
        <f>$C$10/(1+C16)^$C$11</f>
        <v/>
      </c>
      <c r="E16" s="19" t="n">
        <v>83414.69426169855</v>
      </c>
    </row>
    <row r="17">
      <c r="B17" s="3" t="inlineStr">
        <is>
          <t>33.2 (Inmunización TIR)</t>
        </is>
      </c>
      <c r="C17" s="23">
        <f>$C$13</f>
        <v/>
      </c>
      <c r="D17" s="18">
        <f>$C$10/(1+C17)^$C$11</f>
        <v/>
      </c>
      <c r="E17" s="19" t="n">
        <v>71235.26594100281</v>
      </c>
    </row>
    <row r="19">
      <c r="B19" s="2" t="inlineStr">
        <is>
          <t>Diferencia de PM entre regímenes (€)</t>
        </is>
      </c>
      <c r="C19" s="18">
        <f>D17-D16</f>
        <v/>
      </c>
    </row>
    <row r="21">
      <c r="B21" s="5" t="inlineStr">
        <is>
          <t>RESULTADO E INTERPRETACIÓN</t>
        </is>
      </c>
    </row>
    <row r="22" ht="55" customHeight="1">
      <c r="B22" s="24" t="inlineStr">
        <is>
          <t>Sin migración a ETRLR, la cartera 1999-2015 sigue plenamente sujeta a los límites clásicos del art. 33. La elección entre 33.1 y 33.2 depende de si la entidad mantiene inversiones específicamente asignadas y adecuadas (con toda la carga de verificación trimestral). Nota: esta opción de NO migrar sigue siendo válida ilimitadamente en el tiempo, a diferencia de la migración DA5ª que, una vez ejercida, es IRREVERSIBLE.</t>
        </is>
      </c>
    </row>
    <row r="25">
      <c r="B25" s="14" t="inlineStr">
        <is>
          <t>[RD 2486/1998, art. 33] · [RD 1060/2015, DA5ª] — Ejemplo hipotético exclusivamente didáctico.</t>
        </is>
      </c>
    </row>
  </sheetData>
  <mergeCells count="6">
    <mergeCell ref="B3:G3"/>
    <mergeCell ref="A1:G1"/>
    <mergeCell ref="B22:G22"/>
    <mergeCell ref="B9:G9"/>
    <mergeCell ref="B21:G21"/>
    <mergeCell ref="B4:G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 customWidth="1" min="1" max="1"/>
    <col width="45" customWidth="1" min="2" max="2"/>
    <col width="18" customWidth="1" min="3" max="3"/>
    <col width="45" customWidth="1" min="4" max="4"/>
    <col width="16" customWidth="1" min="5" max="5"/>
    <col width="16" customWidth="1" min="6" max="6"/>
    <col width="16" customWidth="1" min="7" max="7"/>
  </cols>
  <sheetData>
    <row r="1" ht="22" customHeight="1">
      <c r="A1" s="1" t="inlineStr">
        <is>
          <t>13. Post2016 — Nueva producción desde 2016 [Guía Técnica 2/2016 DGSFP]</t>
        </is>
      </c>
    </row>
    <row r="3">
      <c r="B3" s="5" t="inlineStr">
        <is>
          <t>NORMA vs HIPÓTESIS</t>
        </is>
      </c>
    </row>
    <row r="4" ht="18" customHeight="1">
      <c r="B4" s="4" t="inlineStr">
        <is>
          <t>"El tipo de interés máximo a utilizar será el resultante de la estructura temporal de tipos de interés [sin riesgo], incluyendo en su caso ajuste por volatilidad, cuando la entidad también aplique dicho ajuste para la valoración de las provisiones técnicas a efectos de Solvencia [II]. No obstante..., el tipo de interés a aplicar será el menor entre el tipo de interés obtenido conforme al párrafo anterior y el tipo de interés garantizado del compromiso." [Guía Técnica 2/2016 DGSFP]. Curva EIOPA publicada mensualmente; valores usados aquí son ILUSTRATIVOS.</t>
        </is>
      </c>
    </row>
    <row r="5" ht="18" customHeight="1"/>
    <row r="6" ht="18" customHeight="1"/>
    <row r="7" ht="18" customHeight="1"/>
    <row r="8" ht="18" customHeight="1"/>
    <row r="10">
      <c r="B10" s="5" t="inlineStr">
        <is>
          <t>INPUTS</t>
        </is>
      </c>
    </row>
    <row r="11">
      <c r="B11" s="2" t="inlineStr">
        <is>
          <t>ETRLR en el punto de duración relevante (%)</t>
        </is>
      </c>
      <c r="C11" s="12" t="n">
        <v>0.028</v>
      </c>
    </row>
    <row r="12">
      <c r="B12" s="2" t="inlineStr">
        <is>
          <t>Ajuste por Volatilidad VA (puntos básicos)</t>
        </is>
      </c>
      <c r="C12" s="11" t="n">
        <v>15</v>
      </c>
    </row>
    <row r="13">
      <c r="B13" s="2" t="inlineStr">
        <is>
          <t>¿Aplica VA (coherente con Solvencia II)?</t>
        </is>
      </c>
      <c r="C13" s="11" t="inlineStr">
        <is>
          <t>Sí</t>
        </is>
      </c>
    </row>
    <row r="14">
      <c r="B14" s="2" t="inlineStr">
        <is>
          <t>Tipo de interés garantizado del compromiso (%)</t>
        </is>
      </c>
      <c r="C14" s="12" t="n">
        <v>0.03</v>
      </c>
    </row>
    <row r="16">
      <c r="B16" s="5" t="inlineStr">
        <is>
          <t>CÁLCULO PASO A PASO</t>
        </is>
      </c>
    </row>
    <row r="17">
      <c r="B17" s="2" t="inlineStr">
        <is>
          <t>ETRLR efectivo = ETRLR + VA (si aplica)</t>
        </is>
      </c>
      <c r="C17" s="23">
        <f>C11+IF(C13="Sí",C12/10000,0)</f>
        <v/>
      </c>
    </row>
    <row r="18">
      <c r="B18" s="2" t="inlineStr">
        <is>
          <t>Tipo técnico máximo = MÍN(ETRLR efectivo, garantizado)</t>
        </is>
      </c>
      <c r="C18" s="13">
        <f>MIN(C17,C14)</f>
        <v/>
      </c>
    </row>
    <row r="19">
      <c r="B19" s="2" t="inlineStr">
        <is>
          <t>Elemento limitante</t>
        </is>
      </c>
      <c r="C19" s="25">
        <f>IF(C17&lt;=C14,"ETRLR(+VA)","Tipo garantizado")</f>
        <v/>
      </c>
    </row>
    <row r="21">
      <c r="B21" s="5" t="inlineStr">
        <is>
          <t>RECALCULO_PYTHON</t>
        </is>
      </c>
    </row>
    <row r="22">
      <c r="B22" s="2" t="inlineStr">
        <is>
          <t>ETRLR efectivo (Python)</t>
        </is>
      </c>
      <c r="C22" s="15" t="n">
        <v>0.0295</v>
      </c>
    </row>
    <row r="23">
      <c r="B23" s="2" t="inlineStr">
        <is>
          <t>Tipo técnico máximo (Python)</t>
        </is>
      </c>
      <c r="C23" s="15" t="n">
        <v>0.0295</v>
      </c>
    </row>
    <row r="24">
      <c r="B24" s="2" t="inlineStr">
        <is>
          <t>Check (Excel-Python≈0)</t>
        </is>
      </c>
      <c r="E24" s="26">
        <f>C18-C23</f>
        <v/>
      </c>
    </row>
    <row r="26">
      <c r="B26" s="5" t="inlineStr">
        <is>
          <t>RESULTADO E INTERPRETACIÓN</t>
        </is>
      </c>
    </row>
    <row r="27" ht="45" customHeight="1">
      <c r="B27" s="24" t="inlineStr">
        <is>
          <t>El VA solo puede incorporarse al tipo técnico contable si la entidad también lo aplica en Solvencia II (coherencia obligatoria). En este ejemplo, ETRLR+VA=2,95% &lt; garantizado 3,00% → el límite lo fija la curva, NO el garantizado. Riesgo: Normal (curva publicada por EIOPA); atención a la consistencia con el modelo de Solvencia II.</t>
        </is>
      </c>
    </row>
    <row r="30">
      <c r="B30" s="14" t="inlineStr">
        <is>
          <t>[Guía Técnica 2/2016 DGSFP] · [RD 1060/2015, arts. 54 y 57] — Valores ilustrativos, no oficiales a la fecha.</t>
        </is>
      </c>
    </row>
  </sheetData>
  <mergeCells count="8">
    <mergeCell ref="B3:G3"/>
    <mergeCell ref="B16:G16"/>
    <mergeCell ref="B10:G10"/>
    <mergeCell ref="A1:G1"/>
    <mergeCell ref="B27:G27"/>
    <mergeCell ref="B26:G26"/>
    <mergeCell ref="B21:G21"/>
    <mergeCell ref="B4:G8"/>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 customWidth="1" min="1" max="1"/>
    <col width="45" customWidth="1" min="2" max="2"/>
    <col width="18" customWidth="1" min="3" max="3"/>
    <col width="45" customWidth="1" min="4" max="4"/>
    <col width="16" customWidth="1" min="5" max="5"/>
    <col width="16" customWidth="1" min="6" max="6"/>
    <col width="16" customWidth="1" min="7" max="7"/>
  </cols>
  <sheetData>
    <row r="1" ht="22" customHeight="1">
      <c r="A1" s="1" t="inlineStr">
        <is>
          <t>14. PB — Tope adicional por Participación en Beneficios [Art. 33.3]</t>
        </is>
      </c>
    </row>
    <row r="3">
      <c r="B3" s="5" t="inlineStr">
        <is>
          <t>NORMA vs HIPÓTESIS</t>
        </is>
      </c>
    </row>
    <row r="4" ht="18" customHeight="1">
      <c r="B4" s="4" t="inlineStr">
        <is>
          <t>"En seguros con participación en beneficios y en aquéllos en los que la provisión de seguros de vida se haya determinado de acuerdo con lo establecido en el párrafo b) del apartado 2 anterior, esta provisión no podrá calcularse a un tipo de interés superior al utilizado para el cálculo de la prima." [RD 2486/1998, art. 33.3]. Se comparan 3 escenarios: PB con TIR alta, PB con TIR baja, y sin PB (sin tope).</t>
        </is>
      </c>
    </row>
    <row r="5" ht="18" customHeight="1"/>
    <row r="6" ht="18" customHeight="1"/>
    <row r="7" ht="18" customHeight="1"/>
    <row r="9">
      <c r="B9" s="5" t="inlineStr">
        <is>
          <t>INPUTS</t>
        </is>
      </c>
    </row>
    <row r="10">
      <c r="B10" s="2" t="inlineStr">
        <is>
          <t>Tipo usado en el cálculo de la PRIMA (%)</t>
        </is>
      </c>
      <c r="C10" s="12" t="n">
        <v>0.03</v>
      </c>
    </row>
    <row r="12">
      <c r="B12" s="6" t="inlineStr">
        <is>
          <t>Escenario</t>
        </is>
      </c>
      <c r="C12" s="6" t="inlineStr">
        <is>
          <t>¿Tiene PB o es 33.2.b?</t>
        </is>
      </c>
      <c r="D12" s="6" t="inlineStr">
        <is>
          <t>TIR/tipo inmunización (%)</t>
        </is>
      </c>
      <c r="E12" s="6" t="inlineStr">
        <is>
          <t>Tipo aplicable = MÍN(TIR,prima) si PB</t>
        </is>
      </c>
      <c r="F12" s="6" t="inlineStr">
        <is>
          <t>Recalculo_Python</t>
        </is>
      </c>
    </row>
    <row r="13">
      <c r="B13" s="3" t="inlineStr">
        <is>
          <t>PB + TIR alta (3,45%)</t>
        </is>
      </c>
      <c r="C13" s="11" t="inlineStr">
        <is>
          <t>Sí</t>
        </is>
      </c>
      <c r="D13" s="12" t="n">
        <v>0.0345</v>
      </c>
      <c r="E13" s="23">
        <f>IF(C13="Sí",MIN(D13,$C$10),D13)</f>
        <v/>
      </c>
      <c r="F13" s="15" t="n">
        <v>0.03</v>
      </c>
    </row>
    <row r="14">
      <c r="B14" s="3" t="inlineStr">
        <is>
          <t>PB + TIR baja (2,50%)</t>
        </is>
      </c>
      <c r="C14" s="11" t="inlineStr">
        <is>
          <t>Sí</t>
        </is>
      </c>
      <c r="D14" s="12" t="n">
        <v>0.025</v>
      </c>
      <c r="E14" s="23">
        <f>IF(C14="Sí",MIN(D14,$C$10),D14)</f>
        <v/>
      </c>
      <c r="F14" s="15" t="n">
        <v>0.025</v>
      </c>
    </row>
    <row r="15">
      <c r="B15" s="3" t="inlineStr">
        <is>
          <t>Sin PB (sin tope)</t>
        </is>
      </c>
      <c r="C15" s="11" t="inlineStr">
        <is>
          <t>No</t>
        </is>
      </c>
      <c r="D15" s="12" t="n">
        <v>0.0345</v>
      </c>
      <c r="E15" s="23">
        <f>IF(C15="Sí",MIN(D15,$C$10),D15)</f>
        <v/>
      </c>
      <c r="F15" s="15" t="n">
        <v>0.0345</v>
      </c>
    </row>
    <row r="17">
      <c r="B17" s="5" t="inlineStr">
        <is>
          <t>RESULTADO E INTERPRETACIÓN ACTUARIAL</t>
        </is>
      </c>
    </row>
    <row r="18" ht="55" customHeight="1">
      <c r="B18" s="24" t="inlineStr">
        <is>
          <t>El tope del 33.3 actúa como un 'techo adicional' que SOLO aplica cuando hay PB o cuando se usa 33.2.b, independientemente de que la TIR real de las inversiones sea superior. Esto evita el reconocimiento anticipado de beneficios financieros vía menor PM cuando esos beneficios deben repartirse posteriormente vía PB. En el escenario 'PB + TIR alta', el tope reduce el tipo de 3,45% a 3,00% (impacto: incremento de PM).</t>
        </is>
      </c>
    </row>
    <row r="21">
      <c r="B21" s="14" t="inlineStr">
        <is>
          <t>[RD 2486/1998, art. 33.3] — Ejemplo hipotético exclusivamente didáctico.</t>
        </is>
      </c>
    </row>
  </sheetData>
  <mergeCells count="6">
    <mergeCell ref="B3:G3"/>
    <mergeCell ref="A1:G1"/>
    <mergeCell ref="B17:G17"/>
    <mergeCell ref="B9:G9"/>
    <mergeCell ref="B18:G18"/>
    <mergeCell ref="B4:G7"/>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4"/>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 customWidth="1" min="1" max="1"/>
    <col width="45" customWidth="1" min="2" max="2"/>
    <col width="18" customWidth="1" min="3" max="3"/>
    <col width="45" customWidth="1" min="4" max="4"/>
    <col width="16" customWidth="1" min="5" max="5"/>
    <col width="16" customWidth="1" min="6" max="6"/>
    <col width="16" customWidth="1" min="7" max="7"/>
  </cols>
  <sheetData>
    <row r="1" ht="22" customHeight="1">
      <c r="A1" s="1" t="inlineStr">
        <is>
          <t>15. Fallback_33_4 — Incumplimiento de inmunización → recálculo art. 33.1 [Art. 33.4]</t>
        </is>
      </c>
    </row>
    <row r="3">
      <c r="B3" s="5" t="inlineStr">
        <is>
          <t>NORMA vs HIPÓTESIS</t>
        </is>
      </c>
    </row>
    <row r="4" ht="18" customHeight="1">
      <c r="B4" s="4" t="inlineStr">
        <is>
          <t>"De incumplirse los requisitos que permiten la aplicación de lo dispuesto en el apartado 2 anterior, el interés técnico a utilizar en el cálculo de la provisión de seguros de vida será el establecido en el apartado 1 del presente artículo." [RD 2486/1998, art. 33.4]. Riesgo: si se incumple 2 trimestres consecutivos, el salto de PM puede ser MUY SIGNIFICATIVO (mayor dotación inmediata).</t>
        </is>
      </c>
    </row>
    <row r="5" ht="18" customHeight="1"/>
    <row r="6" ht="18" customHeight="1"/>
    <row r="7" ht="18" customHeight="1"/>
    <row r="9">
      <c r="B9" s="5" t="inlineStr">
        <is>
          <t>INPUTS</t>
        </is>
      </c>
    </row>
    <row r="10">
      <c r="B10" s="2" t="inlineStr">
        <is>
          <t>Capital/flujo C (€)</t>
        </is>
      </c>
      <c r="C10" s="16" t="n">
        <v>100000</v>
      </c>
    </row>
    <row r="11">
      <c r="B11" s="2" t="inlineStr">
        <is>
          <t>Plazo t (años)</t>
        </is>
      </c>
      <c r="C11" s="11" t="n">
        <v>10</v>
      </c>
    </row>
    <row r="12">
      <c r="B12" s="2" t="inlineStr">
        <is>
          <t>TIR inmunización (33.2), previa al incumplimiento (%)</t>
        </is>
      </c>
      <c r="C12" s="12" t="n">
        <v>0.0345</v>
      </c>
    </row>
    <row r="13">
      <c r="B13" s="2" t="inlineStr">
        <is>
          <t>Tipo DGS fallback art. 33.1 (%)</t>
        </is>
      </c>
      <c r="C13" s="12" t="n">
        <v>0.0183</v>
      </c>
    </row>
    <row r="14">
      <c r="B14" s="2" t="inlineStr">
        <is>
          <t>¿Incumple ≥2 trimestres consecutivos?</t>
        </is>
      </c>
      <c r="C14" s="11" t="inlineStr">
        <is>
          <t>Sí</t>
        </is>
      </c>
    </row>
    <row r="16">
      <c r="B16" s="5" t="inlineStr">
        <is>
          <t>CÁLCULO PASO A PASO</t>
        </is>
      </c>
    </row>
    <row r="17">
      <c r="B17" s="2" t="inlineStr">
        <is>
          <t>Tipo aplicable ANTES del incumplimiento (33.2)</t>
        </is>
      </c>
      <c r="C17" s="23">
        <f>C12</f>
        <v/>
      </c>
    </row>
    <row r="18">
      <c r="B18" s="2" t="inlineStr">
        <is>
          <t>Tipo aplicable DESPUÉS del fallback (33.1)</t>
        </is>
      </c>
      <c r="C18" s="23">
        <f>IF(C14="Sí",C13,C12)</f>
        <v/>
      </c>
    </row>
    <row r="19">
      <c r="B19" s="2" t="inlineStr">
        <is>
          <t>PM ANTES (con TIR 33.2)</t>
        </is>
      </c>
      <c r="C19" s="18">
        <f>C10/(1+C17)^C11</f>
        <v/>
      </c>
    </row>
    <row r="20">
      <c r="B20" s="2" t="inlineStr">
        <is>
          <t>PM DESPUÉS (fallback, si aplica)</t>
        </is>
      </c>
      <c r="C20" s="18">
        <f>C10/(1+C18)^C11</f>
        <v/>
      </c>
    </row>
    <row r="21">
      <c r="B21" s="2" t="inlineStr">
        <is>
          <t>Salto de PM (dotación adicional inmediata, €)</t>
        </is>
      </c>
      <c r="C21" s="27">
        <f>C20-C19</f>
        <v/>
      </c>
    </row>
    <row r="22">
      <c r="B22" s="2" t="inlineStr">
        <is>
          <t>Salto de PM en % sobre PM previa</t>
        </is>
      </c>
      <c r="C22" s="23">
        <f>C21/C19</f>
        <v/>
      </c>
    </row>
    <row r="24">
      <c r="B24" s="5" t="inlineStr">
        <is>
          <t>RECALCULO_PYTHON</t>
        </is>
      </c>
    </row>
    <row r="25">
      <c r="B25" s="2" t="inlineStr">
        <is>
          <t>PM antes (Python)</t>
        </is>
      </c>
      <c r="C25" s="19" t="n">
        <v>71235.26594100281</v>
      </c>
    </row>
    <row r="26">
      <c r="B26" s="2" t="inlineStr">
        <is>
          <t>PM después (Python)</t>
        </is>
      </c>
      <c r="C26" s="19" t="n">
        <v>83414.69426169855</v>
      </c>
    </row>
    <row r="27">
      <c r="B27" s="2" t="inlineStr">
        <is>
          <t>Salto de PM (Python)</t>
        </is>
      </c>
      <c r="C27" s="19" t="n">
        <v>12179.42832069573</v>
      </c>
    </row>
    <row r="28">
      <c r="B28" s="2" t="inlineStr">
        <is>
          <t>Check (Excel-Python≈0)</t>
        </is>
      </c>
      <c r="E28" s="20">
        <f>C21-C27</f>
        <v/>
      </c>
    </row>
    <row r="30">
      <c r="B30" s="5" t="inlineStr">
        <is>
          <t>RESULTADO E INTERPRETACIÓN ACTUARIAL</t>
        </is>
      </c>
    </row>
    <row r="31" ht="60" customHeight="1">
      <c r="B31" s="24" t="inlineStr">
        <is>
          <t>El salto de PM al activarse el fallback es de 12,179.43€ (+17.1% sobre la PM previa), por la caída del tipo técnico aplicable de 3,45% (TIR inmunización) a 1,83% (Tipo DGS). Esto ilustra por qué el control trimestral de los requisitos de inmunización (OM 20-feb-2007) es CRÍTICO desde la perspectiva de ALM y de suficiencia de capital: el impacto contable de un incumplimiento no es gradual, sino un salto discreto e inmediato.</t>
        </is>
      </c>
    </row>
    <row r="34">
      <c r="B34" s="14" t="inlineStr">
        <is>
          <t>[RD 2486/1998, art. 33.4] — Ejemplo hipotético exclusivamente didáctico.</t>
        </is>
      </c>
    </row>
  </sheetData>
  <mergeCells count="8">
    <mergeCell ref="B3:G3"/>
    <mergeCell ref="B16:G16"/>
    <mergeCell ref="B24:G24"/>
    <mergeCell ref="A1:G1"/>
    <mergeCell ref="B31:G31"/>
    <mergeCell ref="B9:G9"/>
    <mergeCell ref="B30:G30"/>
    <mergeCell ref="B4:G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5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 customWidth="1" min="1" max="1"/>
    <col width="42" customWidth="1" min="2" max="2"/>
    <col width="16" customWidth="1" min="3" max="3"/>
    <col width="16" customWidth="1" min="4" max="4"/>
    <col width="16" customWidth="1" min="5" max="5"/>
    <col width="16" customWidth="1" min="6" max="6"/>
    <col width="16" customWidth="1" min="7" max="7"/>
    <col width="16" customWidth="1" min="8" max="8"/>
  </cols>
  <sheetData>
    <row r="1" ht="22" customHeight="1">
      <c r="A1" s="1" t="inlineStr">
        <is>
          <t>16. DA5_Dotacion — Dotación lineal a 10 años [DA 5ª RD 1060/2015]</t>
        </is>
      </c>
    </row>
    <row r="3">
      <c r="B3" s="5" t="inlineStr">
        <is>
          <t>NORMA vs HIPÓTESIS</t>
        </is>
      </c>
    </row>
    <row r="4" ht="18" customHeight="1">
      <c r="B4" s="4" t="inlineStr">
        <is>
          <t>"...las entidades que utilicen para el citado cálculo lo previsto en los apartados 1.a).1º y 1.b).1º del artículo 33... podrán optar por no aplicar dicho tipo de interés y adaptarse a la estructura temporal pertinente de tipos de interés sin riesgo... siempre que, en tal caso, las dotaciones adicionales se efectúen anualmente siguiendo un método de cálculo lineal. El plazo máximo de adaptación será de diez años a contar desde el 31 de diciembre de 2015... no podrán con posterioridad aplicar el tipo de interés previsto para los apartados 1.a).1º y 1.b).1º..." [RD 1060/2015, DA 5ª]. ⚠️ El plazo de 10 años vence el 31-12-2025; no se ha confirmado prórroga oficial adicional a esa fecha (cuestión que requiere validación en la fecha de cierre correspondiente).</t>
        </is>
      </c>
    </row>
    <row r="5" ht="18" customHeight="1"/>
    <row r="6" ht="18" customHeight="1"/>
    <row r="7" ht="18" customHeight="1"/>
    <row r="8" ht="18" customHeight="1"/>
    <row r="9" ht="18" customHeight="1"/>
    <row r="11">
      <c r="B11" s="5" t="inlineStr">
        <is>
          <t>INPUTS</t>
        </is>
      </c>
    </row>
    <row r="12">
      <c r="B12" s="2" t="inlineStr">
        <is>
          <t>PM bajo art. 33 (Tipo DGS), inicial (€)</t>
        </is>
      </c>
      <c r="C12" s="16" t="n">
        <v>950000</v>
      </c>
    </row>
    <row r="13">
      <c r="B13" s="2" t="inlineStr">
        <is>
          <t>PM bajo ETRLR objetivo (€)</t>
        </is>
      </c>
      <c r="C13" s="16" t="n">
        <v>1000000</v>
      </c>
    </row>
    <row r="14">
      <c r="B14" s="2" t="inlineStr">
        <is>
          <t>Plazo máximo de adaptación (años)</t>
        </is>
      </c>
      <c r="C14" s="11" t="n">
        <v>10</v>
      </c>
    </row>
    <row r="15">
      <c r="B15" s="2" t="inlineStr">
        <is>
          <t>Años transcurridos desde 31-12-2015 (variable)</t>
        </is>
      </c>
      <c r="C15" s="11" t="n">
        <v>8</v>
      </c>
    </row>
    <row r="17">
      <c r="B17" s="5" t="inlineStr">
        <is>
          <t>CÁLCULO PASO A PASO</t>
        </is>
      </c>
    </row>
    <row r="18">
      <c r="B18" s="2" t="inlineStr">
        <is>
          <t>Gap inicial = PM_ETRLR − PM_art.33</t>
        </is>
      </c>
      <c r="C18" s="18">
        <f>C13-C12</f>
        <v/>
      </c>
    </row>
    <row r="19">
      <c r="B19" s="2" t="inlineStr">
        <is>
          <t>Dotación lineal anual = Gap / Plazo</t>
        </is>
      </c>
      <c r="C19" s="18">
        <f>C18/C14</f>
        <v/>
      </c>
    </row>
    <row r="20">
      <c r="B20" s="2" t="inlineStr">
        <is>
          <t>Años efectivos (tope al plazo máximo)</t>
        </is>
      </c>
      <c r="C20" s="25">
        <f>MIN(C15,C14)</f>
        <v/>
      </c>
    </row>
    <row r="21">
      <c r="B21" s="2" t="inlineStr">
        <is>
          <t>Dotación acumulada</t>
        </is>
      </c>
      <c r="C21" s="18">
        <f>C19*C20</f>
        <v/>
      </c>
    </row>
    <row r="22">
      <c r="B22" s="2" t="inlineStr">
        <is>
          <t>PM actual = PM_art.33 + Dotación acumulada</t>
        </is>
      </c>
      <c r="C22" s="27">
        <f>C12+C21</f>
        <v/>
      </c>
    </row>
    <row r="23">
      <c r="B23" s="2" t="inlineStr">
        <is>
          <t>% de adaptación completado</t>
        </is>
      </c>
      <c r="C23" s="23">
        <f>C20/C14</f>
        <v/>
      </c>
    </row>
    <row r="24">
      <c r="B24" s="2" t="inlineStr">
        <is>
          <t>¿Plazo agotado (10 años)?</t>
        </is>
      </c>
      <c r="C24" s="25">
        <f>IF(C15&gt;=C14,"SÍ — PM_actual debe = PM_ETRLR","No — en fase de adaptación")</f>
        <v/>
      </c>
    </row>
    <row r="26">
      <c r="B26" s="5" t="inlineStr">
        <is>
          <t>RECALCULO_PYTHON</t>
        </is>
      </c>
    </row>
    <row r="27">
      <c r="B27" s="2" t="inlineStr">
        <is>
          <t>Gap inicial (Python)</t>
        </is>
      </c>
      <c r="C27" s="19" t="n">
        <v>50000</v>
      </c>
    </row>
    <row r="28">
      <c r="B28" s="2" t="inlineStr">
        <is>
          <t>Dotación anual (Python)</t>
        </is>
      </c>
      <c r="C28" s="19" t="n">
        <v>5000</v>
      </c>
    </row>
    <row r="29">
      <c r="B29" s="2" t="inlineStr">
        <is>
          <t>Dotación acumulada (Python)</t>
        </is>
      </c>
      <c r="C29" s="19" t="n">
        <v>40000</v>
      </c>
    </row>
    <row r="30">
      <c r="B30" s="2" t="inlineStr">
        <is>
          <t>PM actual (Python)</t>
        </is>
      </c>
      <c r="C30" s="19" t="n">
        <v>990000</v>
      </c>
    </row>
    <row r="31">
      <c r="B31" s="2" t="inlineStr">
        <is>
          <t>% completado (Python)</t>
        </is>
      </c>
      <c r="C31" s="15" t="n">
        <v>0.8</v>
      </c>
    </row>
    <row r="32">
      <c r="B32" s="2" t="inlineStr">
        <is>
          <t>Check (Excel-Python≈0, PM actual)</t>
        </is>
      </c>
      <c r="C32" s="20">
        <f>C22-C31</f>
        <v/>
      </c>
    </row>
    <row r="34">
      <c r="B34" s="5" t="inlineStr">
        <is>
          <t>TABLA DE SEGUIMIENTO AÑO A AÑO (0 a 10 años)</t>
        </is>
      </c>
    </row>
    <row r="35">
      <c r="B35" s="6" t="inlineStr">
        <is>
          <t>Año</t>
        </is>
      </c>
      <c r="C35" s="6" t="inlineStr">
        <is>
          <t>Dotación acumulada (€)</t>
        </is>
      </c>
      <c r="D35" s="6" t="inlineStr">
        <is>
          <t>PM actual (€)</t>
        </is>
      </c>
      <c r="E35" s="6" t="inlineStr">
        <is>
          <t>% completado</t>
        </is>
      </c>
      <c r="F35" s="6" t="inlineStr">
        <is>
          <t>Recalculo_Python PM</t>
        </is>
      </c>
    </row>
    <row r="36">
      <c r="B36" s="3" t="n">
        <v>0</v>
      </c>
      <c r="C36" s="18">
        <f>$C$19*MIN(0,$C$14)</f>
        <v/>
      </c>
      <c r="D36" s="18">
        <f>$C$12+C36</f>
        <v/>
      </c>
      <c r="E36" s="23">
        <f>MIN(0,$C$14)/$C$14</f>
        <v/>
      </c>
      <c r="F36" s="19" t="n">
        <v>950000</v>
      </c>
    </row>
    <row r="37">
      <c r="B37" s="3" t="n">
        <v>1</v>
      </c>
      <c r="C37" s="18">
        <f>$C$19*MIN(1,$C$14)</f>
        <v/>
      </c>
      <c r="D37" s="18">
        <f>$C$12+C37</f>
        <v/>
      </c>
      <c r="E37" s="23">
        <f>MIN(1,$C$14)/$C$14</f>
        <v/>
      </c>
      <c r="F37" s="19" t="n">
        <v>955000</v>
      </c>
    </row>
    <row r="38">
      <c r="B38" s="3" t="n">
        <v>2</v>
      </c>
      <c r="C38" s="18">
        <f>$C$19*MIN(2,$C$14)</f>
        <v/>
      </c>
      <c r="D38" s="18">
        <f>$C$12+C38</f>
        <v/>
      </c>
      <c r="E38" s="23">
        <f>MIN(2,$C$14)/$C$14</f>
        <v/>
      </c>
      <c r="F38" s="19" t="n">
        <v>960000</v>
      </c>
    </row>
    <row r="39">
      <c r="B39" s="3" t="n">
        <v>3</v>
      </c>
      <c r="C39" s="18">
        <f>$C$19*MIN(3,$C$14)</f>
        <v/>
      </c>
      <c r="D39" s="18">
        <f>$C$12+C39</f>
        <v/>
      </c>
      <c r="E39" s="23">
        <f>MIN(3,$C$14)/$C$14</f>
        <v/>
      </c>
      <c r="F39" s="19" t="n">
        <v>965000</v>
      </c>
    </row>
    <row r="40">
      <c r="B40" s="3" t="n">
        <v>4</v>
      </c>
      <c r="C40" s="18">
        <f>$C$19*MIN(4,$C$14)</f>
        <v/>
      </c>
      <c r="D40" s="18">
        <f>$C$12+C40</f>
        <v/>
      </c>
      <c r="E40" s="23">
        <f>MIN(4,$C$14)/$C$14</f>
        <v/>
      </c>
      <c r="F40" s="19" t="n">
        <v>970000</v>
      </c>
    </row>
    <row r="41">
      <c r="B41" s="3" t="n">
        <v>5</v>
      </c>
      <c r="C41" s="18">
        <f>$C$19*MIN(5,$C$14)</f>
        <v/>
      </c>
      <c r="D41" s="18">
        <f>$C$12+C41</f>
        <v/>
      </c>
      <c r="E41" s="23">
        <f>MIN(5,$C$14)/$C$14</f>
        <v/>
      </c>
      <c r="F41" s="19" t="n">
        <v>975000</v>
      </c>
    </row>
    <row r="42">
      <c r="B42" s="3" t="n">
        <v>6</v>
      </c>
      <c r="C42" s="18">
        <f>$C$19*MIN(6,$C$14)</f>
        <v/>
      </c>
      <c r="D42" s="18">
        <f>$C$12+C42</f>
        <v/>
      </c>
      <c r="E42" s="23">
        <f>MIN(6,$C$14)/$C$14</f>
        <v/>
      </c>
      <c r="F42" s="19" t="n">
        <v>980000</v>
      </c>
    </row>
    <row r="43">
      <c r="B43" s="3" t="n">
        <v>7</v>
      </c>
      <c r="C43" s="18">
        <f>$C$19*MIN(7,$C$14)</f>
        <v/>
      </c>
      <c r="D43" s="18">
        <f>$C$12+C43</f>
        <v/>
      </c>
      <c r="E43" s="23">
        <f>MIN(7,$C$14)/$C$14</f>
        <v/>
      </c>
      <c r="F43" s="19" t="n">
        <v>985000</v>
      </c>
    </row>
    <row r="44">
      <c r="B44" s="3" t="n">
        <v>8</v>
      </c>
      <c r="C44" s="18">
        <f>$C$19*MIN(8,$C$14)</f>
        <v/>
      </c>
      <c r="D44" s="18">
        <f>$C$12+C44</f>
        <v/>
      </c>
      <c r="E44" s="23">
        <f>MIN(8,$C$14)/$C$14</f>
        <v/>
      </c>
      <c r="F44" s="19" t="n">
        <v>990000</v>
      </c>
    </row>
    <row r="45">
      <c r="B45" s="3" t="n">
        <v>9</v>
      </c>
      <c r="C45" s="18">
        <f>$C$19*MIN(9,$C$14)</f>
        <v/>
      </c>
      <c r="D45" s="18">
        <f>$C$12+C45</f>
        <v/>
      </c>
      <c r="E45" s="23">
        <f>MIN(9,$C$14)/$C$14</f>
        <v/>
      </c>
      <c r="F45" s="19" t="n">
        <v>995000</v>
      </c>
    </row>
    <row r="46">
      <c r="B46" s="3" t="n">
        <v>10</v>
      </c>
      <c r="C46" s="18">
        <f>$C$19*MIN(10,$C$14)</f>
        <v/>
      </c>
      <c r="D46" s="18">
        <f>$C$12+C46</f>
        <v/>
      </c>
      <c r="E46" s="23">
        <f>MIN(10,$C$14)/$C$14</f>
        <v/>
      </c>
      <c r="F46" s="19" t="n">
        <v>1000000</v>
      </c>
    </row>
    <row r="48">
      <c r="B48" s="5" t="inlineStr">
        <is>
          <t>RESULTADO E INTERPRETACIÓN ACTUARIAL</t>
        </is>
      </c>
    </row>
    <row r="49" ht="45" customHeight="1">
      <c r="B49" s="24" t="inlineStr">
        <is>
          <t>La dotación lineal garantiza que, año a año, la PM converge suavemente desde el nivel art.33 (Tipo DGS) hacia el nivel ETRLR objetivo, evitando un salto discreto como en el fallback del art.33.4. La opción es IRREVERSIBLE: una vez adoptada, la entidad no puede volver a aplicar el Tipo DGS (33.1.a.1º/b.1º) para esa cartera.</t>
        </is>
      </c>
    </row>
    <row r="52">
      <c r="B52" s="14" t="inlineStr">
        <is>
          <t>[RD 1060/2015, DA 5ª] · [Resolución DGSFP 15-ene-2016] — Ejemplo hipotético exclusivamente didáctico.</t>
        </is>
      </c>
    </row>
  </sheetData>
  <mergeCells count="9">
    <mergeCell ref="A1:H1"/>
    <mergeCell ref="B17:H17"/>
    <mergeCell ref="B26:H26"/>
    <mergeCell ref="B4:H9"/>
    <mergeCell ref="B49:H49"/>
    <mergeCell ref="B48:H48"/>
    <mergeCell ref="B11:H11"/>
    <mergeCell ref="B3:H3"/>
    <mergeCell ref="B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2026-09-30T20:08:40Z</dcterms:created>
  <dcterms:modified xmlns:dcterms="http://purl.org/dc/terms/" xmlns:xsi="http://www.w3.org/2001/XMLSchema-instance" xsi:type="dcterms:W3CDTF">2026-09-30T20:14:55Z</dcterms:modified>
</cp:coreProperties>
</file>